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b240f29f2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摘要" sheetId="1" r:id="Rba3833035caf45f4"/>
    <x:sheet xmlns:r="http://schemas.openxmlformats.org/officeDocument/2006/relationships" name="三館合計月用電" sheetId="2" r:id="Rac7e53308ac344c6"/>
    <x:sheet xmlns:r="http://schemas.openxmlformats.org/officeDocument/2006/relationships" name="用電模型資料" sheetId="3" r:id="R1a4d43beebaf4196"/>
    <x:sheet xmlns:r="http://schemas.openxmlformats.org/officeDocument/2006/relationships" name="用電向前驗證" sheetId="4" r:id="Rf429885214734dee"/>
    <x:sheet xmlns:r="http://schemas.openxmlformats.org/officeDocument/2006/relationships" name="冷氣清冊摘要" sheetId="5" r:id="R28a2be970cbc45d6"/>
    <x:sheet xmlns:r="http://schemas.openxmlformats.org/officeDocument/2006/relationships" name="修繕事件摘要" sheetId="6" r:id="Rf4e6fe2026594e13"/>
    <x:sheet xmlns:r="http://schemas.openxmlformats.org/officeDocument/2006/relationships" name="故障風險摘要" sheetId="7" r:id="Rb35c344080154ecb"/>
    <x:sheet xmlns:r="http://schemas.openxmlformats.org/officeDocument/2006/relationships" name="人數與開館" sheetId="8" r:id="R6ff46df2502e4e10"/>
    <x:sheet xmlns:r="http://schemas.openxmlformats.org/officeDocument/2006/relationships" name="方法限制與來源" sheetId="9" r:id="Rb77f9256ccdf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%"/>
    <x:numFmt numFmtId="202" formatCode="#,##0"/>
    <x:numFmt numFmtId="203" formatCode="0.0"/>
    <x:numFmt numFmtId="204" formatCode="0"/>
    <x:numFmt numFmtId="205" formatCode="0.00"/>
  </x:numFmts>
  <x:fonts count="7">
    <x:font>
      <x:sz val="11"/>
      <x:name val="Carlito"/>
    </x:font>
    <x:font>
      <x:b/>
      <x:sz val="18"/>
      <x:color rgb="FFFFFFFF"/>
      <x:name val="Microsoft JhengHei"/>
    </x:font>
    <x:font>
      <x:sz val="10"/>
      <x:color rgb="FF0B356B"/>
      <x:name val="Microsoft JhengHei"/>
    </x:font>
    <x:font>
      <x:b/>
      <x:sz val="10"/>
      <x:color rgb="FFFFFFFF"/>
      <x:name val="Microsoft JhengHei"/>
    </x:font>
    <x:font>
      <x:sz val="10"/>
      <x:color rgb="FF1D2939"/>
      <x:name val="Microsoft JhengHei"/>
    </x:font>
    <x:font>
      <x:b/>
      <x:sz val="10"/>
      <x:color rgb="FF18794E"/>
      <x:name val="Microsoft JhengHei"/>
    </x:font>
    <x:font>
      <x:sz val="11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0B356B"/>
      </x:patternFill>
    </x:fill>
    <x:fill>
      <x:patternFill patternType="solid">
        <x:fgColor rgb="FFF2F7FF"/>
      </x:patternFill>
    </x:fill>
    <x:fill>
      <x:patternFill patternType="solid">
        <x:fgColor rgb="FF0757A6"/>
      </x:patternFill>
    </x:fill>
    <x:fill>
      <x:patternFill patternType="solid">
        <x:fgColor rgb="FFEAF6EF"/>
      </x:patternFill>
    </x:fill>
  </x:fills>
  <x:borders count="7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AECF0"/>
      </x:bottom>
    </x:border>
    <x:border>
      <x:top style="thin">
        <x:color rgb="FFEAECF0"/>
      </x:top>
      <x:bottom style="thin">
        <x:color rgb="FFEAECF0"/>
      </x:bottom>
    </x:border>
    <x:border>
      <x:top style="thin">
        <x:color rgb="FFEAECF0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D76800"/>
      </x:font>
      <x:fill>
        <x:patternFill patternType="solid">
          <x:bgColor rgb="FFFFF4E5"/>
        </x:patternFill>
      </x:fill>
    </x:dxf>
    <x:dxf>
      <x:font>
        <x:b/>
        <x:color rgb="FFD76800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59e71d11c4b80" /><Relationship Type="http://schemas.openxmlformats.org/officeDocument/2006/relationships/theme" Target="/xl/theme/theme1.xml" Id="R99f0038d6bd54534" /><Relationship Type="http://schemas.openxmlformats.org/officeDocument/2006/relationships/sharedStrings" Target="/xl/sharedStrings.xml" Id="R5c69f41d0fb44c2c" /><Relationship Type="http://schemas.openxmlformats.org/officeDocument/2006/relationships/worksheet" Target="/xl/worksheets/sheet1.xml" Id="Rba3833035caf45f4" /><Relationship Type="http://schemas.openxmlformats.org/officeDocument/2006/relationships/worksheet" Target="/xl/worksheets/sheet2.xml" Id="Rac7e53308ac344c6" /><Relationship Type="http://schemas.openxmlformats.org/officeDocument/2006/relationships/worksheet" Target="/xl/worksheets/sheet3.xml" Id="R1a4d43beebaf4196" /><Relationship Type="http://schemas.openxmlformats.org/officeDocument/2006/relationships/worksheet" Target="/xl/worksheets/sheet4.xml" Id="Rf429885214734dee" /><Relationship Type="http://schemas.openxmlformats.org/officeDocument/2006/relationships/worksheet" Target="/xl/worksheets/sheet5.xml" Id="R28a2be970cbc45d6" /><Relationship Type="http://schemas.openxmlformats.org/officeDocument/2006/relationships/worksheet" Target="/xl/worksheets/sheet6.xml" Id="Rf4e6fe2026594e13" /><Relationship Type="http://schemas.openxmlformats.org/officeDocument/2006/relationships/worksheet" Target="/xl/worksheets/sheet7.xml" Id="Rb35c344080154ecb" /><Relationship Type="http://schemas.openxmlformats.org/officeDocument/2006/relationships/worksheet" Target="/xl/worksheets/sheet8.xml" Id="R6ff46df2502e4e10" /><Relationship Type="http://schemas.openxmlformats.org/officeDocument/2006/relationships/worksheet" Target="/xl/worksheets/sheet9.xml" Id="Rb77f9256ccdf49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2b7143af714396" /><Relationship Type="http://schemas.openxmlformats.org/officeDocument/2006/relationships/chart" Target="/xl/drawings/charts/chart2.xml" Id="Rf1efba422edd4c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實際用電與向前預測（度）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實際用電（度）</c:v>
          </c:tx>
          <c:marker>
            <c:symbol val="none"/>
          </c:marker>
          <c:cat>
            <c:strRef>
              <c:f>'研究摘要'!$A$17:$A$40</c:f>
              <c:strCache>
                <c:ptCount val="0"/>
              </c:strCache>
            </c:strRef>
          </c:cat>
          <c:val>
            <c:numRef>
              <c:f>'研究摘要'!$B$17:$B$40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向前預測（度）</c:v>
          </c:tx>
          <c:marker>
            <c:symbol val="none"/>
          </c:marker>
          <c:cat>
            <c:strRef>
              <c:f>'研究摘要'!$A$17:$A$40</c:f>
              <c:strCache>
                <c:ptCount val="0"/>
              </c:strCache>
            </c:strRef>
          </c:cat>
          <c:val>
            <c:numRef>
              <c:f>'研究摘要'!$C$17:$C$40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三館現有冷氣台數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現有冷氣台數</c:v>
          </c:tx>
          <c:cat>
            <c:strRef>
              <c:f>'研究摘要'!$A$44:$A$46</c:f>
              <c:strCache>
                <c:ptCount val="0"/>
              </c:strCache>
            </c:strRef>
          </c:cat>
          <c:val>
            <c:numRef>
              <c:f>'研究摘要'!$B$44:$B$46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2b7143af714396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efba422edd4c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ElectricityOfficial" displayName="MonthlyElectricityOfficial" ref="A5:H77" headerRowCount="1" totalsRowCount="0" totalsRowShown="0">
  <x:tableColumns count="8">
    <x:tableColumn id="1" name="月份"/>
    <x:tableColumn id="2" name="西元年"/>
    <x:tableColumn id="3" name="月"/>
    <x:tableColumn id="4" name="三館合計_kWh"/>
    <x:tableColumn id="5" name="有效館數"/>
    <x:tableColumn id="6" name="三館皆有效"/>
    <x:tableColumn id="7" name="嚴格模型納入"/>
    <x:tableColumn id="8" name="品質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rgyModelOfficial" displayName="EnergyModelOfficial" ref="A5:J53" headerRowCount="1" totalsRowCount="0" totalsRowShown="0">
  <x:tableColumns count="10">
    <x:tableColumn id="1" name="月份"/>
    <x:tableColumn id="2" name="學期"/>
    <x:tableColumn id="3" name="三館合計_kWh"/>
    <x:tableColumn id="4" name="住宿人數"/>
    <x:tableColumn id="5" name="估算開館天數"/>
    <x:tableColumn id="6" name="估算住宿人日"/>
    <x:tableColumn id="7" name="淡水月均溫_C"/>
    <x:tableColumn id="8" name="26°C冷房度日"/>
    <x:tableColumn id="9" name="用電品質"/>
    <x:tableColumn id="10" name="氣溫來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ergyForwardValidation" displayName="EnergyForwardValidation" ref="A5:F29" headerRowCount="1" totalsRowCount="0" totalsRowShown="0">
  <x:tableColumns count="6">
    <x:tableColumn id="1" name="月份"/>
    <x:tableColumn id="2" name="實際用電_kWh"/>
    <x:tableColumn id="3" name="向前預測_kWh"/>
    <x:tableColumn id="4" name="絕對誤差_kWh"/>
    <x:tableColumn id="5" name="殘差_kWh"/>
    <x:tableColumn id="6" name="選定 alph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InventorySummary" displayName="ACInventorySummary" ref="A5:G76" headerRowCount="1" totalsRowCount="0" totalsRowShown="0">
  <x:tableColumns count="7">
    <x:tableColumn id="1" name="館別"/>
    <x:tableColumn id="2" name="廠牌"/>
    <x:tableColumn id="3" name="型號族群"/>
    <x:tableColumn id="4" name="購置年代"/>
    <x:tableColumn id="5" name="台數"/>
    <x:tableColumn id="6" name="機齡中位數_年"/>
    <x:tableColumn id="7" name="購置日期缺漏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intenanceSummary" displayName="MaintenanceSummary" ref="A5:F206" headerRowCount="1" totalsRowCount="0" totalsRowShown="0">
  <x:tableColumns count="6">
    <x:tableColumn id="1" name="館別"/>
    <x:tableColumn id="2" name="年度"/>
    <x:tableColumn id="3" name="事件類別"/>
    <x:tableColumn id="4" name="事件數"/>
    <x:tableColumn id="5" name="故障事件數"/>
    <x:tableColumn id="6" name="連回現有清冊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RiskSummary" displayName="ACRiskSummary" ref="A5:I24" headerRowCount="1" totalsRowCount="0" totalsRowShown="0">
  <x:tableColumns count="9">
    <x:tableColumn id="1" name="館別"/>
    <x:tableColumn id="2" name="廠牌"/>
    <x:tableColumn id="3" name="型號族群"/>
    <x:tableColumn id="4" name="機齡帶"/>
    <x:tableColumn id="5" name="台數"/>
    <x:tableColumn id="6" name="平均預測風險"/>
    <x:tableColumn id="7" name="風險中位數"/>
    <x:tableColumn id="8" name="風險P90"/>
    <x:tableColumn id="9" name="平均既往故障數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ccupancyOpeningSummary" displayName="OccupancyOpeningSummary" ref="A5:H15" headerRowCount="1" totalsRowCount="0" totalsRowShown="0">
  <x:tableColumns count="8">
    <x:tableColumn id="1" name="學期"/>
    <x:tableColumn id="2" name="開館起日"/>
    <x:tableColumn id="3" name="開館末日"/>
    <x:tableColumn id="4" name="來源文字"/>
    <x:tableColumn id="5" name="日期解析品質"/>
    <x:tableColumn id="6" name="住宿人數"/>
    <x:tableColumn id="7" name="人數來源期間"/>
    <x:tableColumn id="8" name="人數解析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d312ca6b9b46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bb698fcf87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efae95c84e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126d41df9642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e7d2d7e7b145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836323600e44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c0794395544a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7ed970810f40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5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淡江大學松濤館正式資料分析摘要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資料截止：校方檔名 115.8.13；公開層只含三館合計或彙整結果。房號、財產編號、使用人姓名與設備級風險未放入本工作簿。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 ht="34" customHeight="1">
      <x:c r="A4" s="19" t="str">
        <x:v>資料／模型</x:v>
      </x:c>
      <x:c r="B4" s="20" t="str">
        <x:v>數量或指標</x:v>
      </x:c>
      <x:c r="C4" s="20" t="str">
        <x:v>狀態</x:v>
      </x:c>
      <x:c r="D4" s="21" t="str">
        <x:v>解讀</x:v>
      </x:c>
      <x:c r="E4" s="60"/>
      <x:c r="F4" s="60"/>
      <x:c r="G4" s="60"/>
      <x:c r="H4" s="60"/>
      <x:c r="I4" s="60"/>
      <x:c r="J4" s="60"/>
      <x:c r="K4" s="60"/>
      <x:c r="L4" s="60"/>
    </x:row>
    <x:row r="5">
      <x:c r="A5" s="26" t="str">
        <x:v>現有冷氣</x:v>
      </x:c>
      <x:c r="B5" s="26" t="n">
        <x:v>530</x:v>
      </x:c>
      <x:c r="C5" s="38" t="str">
        <x:v>正式清冊</x:v>
      </x:c>
      <x:c r="D5" s="26" t="str">
        <x:v>一館 171、二館 170、三館 189 台</x:v>
      </x:c>
      <x:c r="E5" s="60"/>
      <x:c r="F5" s="60"/>
      <x:c r="G5" s="60"/>
      <x:c r="H5" s="60"/>
      <x:c r="I5" s="60"/>
      <x:c r="J5" s="60"/>
      <x:c r="K5" s="60"/>
      <x:c r="L5" s="60"/>
    </x:row>
    <x:row r="6">
      <x:c r="A6" s="27" t="str">
        <x:v>修繕／保養事件</x:v>
      </x:c>
      <x:c r="B6" s="27" t="n">
        <x:v>2442</x:v>
      </x:c>
      <x:c r="C6" s="39" t="str">
        <x:v>正式紀錄</x:v>
      </x:c>
      <x:c r="D6" s="27" t="str">
        <x:v>其中 1,759 筆依文字規則辨識為故障修繕</x:v>
      </x:c>
      <x:c r="E6" s="60"/>
      <x:c r="F6" s="60"/>
      <x:c r="G6" s="60"/>
      <x:c r="H6" s="60"/>
      <x:c r="I6" s="60"/>
      <x:c r="J6" s="60"/>
      <x:c r="K6" s="60"/>
      <x:c r="L6" s="60"/>
    </x:row>
    <x:row r="7">
      <x:c r="A7" s="27" t="str">
        <x:v>可連回現有清冊事件</x:v>
      </x:c>
      <x:c r="B7" s="27" t="n">
        <x:v>2155</x:v>
      </x:c>
      <x:c r="C7" s="39" t="str">
        <x:v>88.2%</x:v>
      </x:c>
      <x:c r="D7" s="27" t="str">
        <x:v>287 筆多為已汰換或資料不足，未用於設備級模型</x:v>
      </x:c>
      <x:c r="E7" s="60"/>
      <x:c r="F7" s="60"/>
      <x:c r="G7" s="60"/>
      <x:c r="H7" s="60"/>
      <x:c r="I7" s="60"/>
      <x:c r="J7" s="60"/>
      <x:c r="K7" s="60"/>
      <x:c r="L7" s="60"/>
    </x:row>
    <x:row r="8">
      <x:c r="A8" s="27" t="str">
        <x:v>嚴格用電模型月份</x:v>
      </x:c>
      <x:c r="B8" s="27" t="n">
        <x:v>48</x:v>
      </x:c>
      <x:c r="C8" s="39" t="str">
        <x:v>2021-09 至 2026-06</x:v>
      </x:c>
      <x:c r="D8" s="27" t="str">
        <x:v>排除來源異常、統計離群、暑期人數未知與缺漏</x:v>
      </x:c>
      <x:c r="E8" s="60"/>
      <x:c r="F8" s="60"/>
      <x:c r="G8" s="60"/>
      <x:c r="H8" s="60"/>
      <x:c r="I8" s="60"/>
      <x:c r="J8" s="60"/>
      <x:c r="K8" s="60"/>
      <x:c r="L8" s="60"/>
    </x:row>
    <x:row r="9">
      <x:c r="A9" s="27" t="str">
        <x:v>用電向前驗證 R²</x:v>
      </x:c>
      <x:c r="B9" s="29" t="n">
        <x:v>0.5859427076010827</x:v>
      </x:c>
      <x:c r="C9" s="39" t="str">
        <x:v>通過</x:v>
      </x:c>
      <x:c r="D9" s="27" t="str">
        <x:v>只用預測月份以前資料</x:v>
      </x:c>
      <x:c r="E9" s="60"/>
      <x:c r="F9" s="60"/>
      <x:c r="G9" s="60"/>
      <x:c r="H9" s="60"/>
      <x:c r="I9" s="60"/>
      <x:c r="J9" s="60"/>
      <x:c r="K9" s="60"/>
      <x:c r="L9" s="60"/>
    </x:row>
    <x:row r="10">
      <x:c r="A10" s="27" t="str">
        <x:v>用電 MAE（度）</x:v>
      </x:c>
      <x:c r="B10" s="29" t="n">
        <x:v>21332.771141635545</x:v>
      </x:c>
      <x:c r="C10" s="39" t="str">
        <x:v>通過</x:v>
      </x:c>
      <x:c r="D10" s="27" t="str">
        <x:v>季節基準為 23040 度</x:v>
      </x:c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7" t="str">
        <x:v>用電 sMAPE</x:v>
      </x:c>
      <x:c r="B11" s="30" t="n">
        <x:v>0.16730898576231432</x:v>
      </x:c>
      <x:c r="C11" s="39" t="str">
        <x:v>通過</x:v>
      </x:c>
      <x:c r="D11" s="27" t="str">
        <x:v>較季節中位數基準 MAE 改善 7.4%</x:v>
      </x:c>
      <x:c r="E11" s="60"/>
      <x:c r="F11" s="60"/>
      <x:c r="G11" s="60"/>
      <x:c r="H11" s="60"/>
      <x:c r="I11" s="60"/>
      <x:c r="J11" s="60"/>
      <x:c r="K11" s="60"/>
      <x:c r="L11" s="60"/>
    </x:row>
    <x:row r="12">
      <x:c r="A12" s="27" t="str">
        <x:v>故障模型設備－年度</x:v>
      </x:c>
      <x:c r="B12" s="27" t="n">
        <x:v>3723</x:v>
      </x:c>
      <x:c r="C12" s="39" t="str">
        <x:v>2017–2025</x:v>
      </x:c>
      <x:c r="D12" s="27" t="str">
        <x:v>2026 為排序年度，不當完整標籤</x:v>
      </x:c>
      <x:c r="E12" s="60"/>
      <x:c r="F12" s="60"/>
      <x:c r="G12" s="60"/>
      <x:c r="H12" s="60"/>
      <x:c r="I12" s="60"/>
      <x:c r="J12" s="60"/>
      <x:c r="K12" s="60"/>
      <x:c r="L12" s="60"/>
    </x:row>
    <x:row r="13">
      <x:c r="A13" s="27" t="str">
        <x:v>故障 ROC-AUC</x:v>
      </x:c>
      <x:c r="B13" s="29" t="n">
        <x:v>0.6609330207881273</x:v>
      </x:c>
      <x:c r="C13" s="39" t="str">
        <x:v>中等排序能力</x:v>
      </x:c>
      <x:c r="D13" s="27" t="str">
        <x:v>適合作相對優先順序，不是安全認證</x:v>
      </x:c>
      <x:c r="E13" s="60"/>
      <x:c r="F13" s="60"/>
      <x:c r="G13" s="60"/>
      <x:c r="H13" s="60"/>
      <x:c r="I13" s="60"/>
      <x:c r="J13" s="60"/>
      <x:c r="K13" s="60"/>
      <x:c r="L13" s="60"/>
    </x:row>
    <x:row r="14">
      <x:c r="A14" s="28" t="str">
        <x:v>故障 Brier score</x:v>
      </x:c>
      <x:c r="B14" s="31" t="n">
        <x:v>0.1628080860323718</x:v>
      </x:c>
      <x:c r="C14" s="40" t="str">
        <x:v>需持續校準</x:v>
      </x:c>
      <x:c r="D14" s="28" t="str">
        <x:v>機率預測誤差指標，越低越好</x:v>
      </x:c>
      <x:c r="E14" s="60"/>
      <x:c r="F14" s="60"/>
      <x:c r="G14" s="60"/>
      <x:c r="H14" s="60"/>
      <x:c r="I14" s="60"/>
      <x:c r="J14" s="60"/>
      <x:c r="K14" s="60"/>
      <x:c r="L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 ht="34" customHeight="1">
      <x:c r="A16" s="19" t="str">
        <x:v>月份</x:v>
      </x:c>
      <x:c r="B16" s="20" t="str">
        <x:v>實際用電（度）</x:v>
      </x:c>
      <x:c r="C16" s="21" t="str">
        <x:v>向前預測（度）</x:v>
      </x:c>
      <x:c r="D16" s="60"/>
      <x:c r="E16" s="60"/>
      <x:c r="F16" s="60"/>
      <x:c r="G16" s="60"/>
      <x:c r="H16" s="60"/>
      <x:c r="I16" s="60"/>
      <x:c r="J16" s="60"/>
      <x:c r="K16" s="60"/>
      <x:c r="L16" s="60"/>
    </x:row>
    <x:row r="17">
      <x:c r="A17" s="26" t="str">
        <x:f>'用電向前驗證'!A6</x:f>
        <x:v>2024-01</x:v>
      </x:c>
      <x:c r="B17" s="41" t="n">
        <x:f>'用電向前驗證'!B6</x:f>
        <x:v>99858</x:v>
      </x:c>
      <x:c r="C17" s="41" t="n">
        <x:f>'用電向前驗證'!C6</x:f>
        <x:v>105280.89500058052</x:v>
      </x:c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7" t="str">
        <x:f>'用電向前驗證'!A7</x:f>
        <x:v>2024-02</x:v>
      </x:c>
      <x:c r="B18" s="42" t="n">
        <x:f>'用電向前驗證'!B7</x:f>
        <x:v>83968</x:v>
      </x:c>
      <x:c r="C18" s="42" t="n">
        <x:f>'用電向前驗證'!C7</x:f>
        <x:v>61709.39209189529</x:v>
      </x:c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27" t="str">
        <x:f>'用電向前驗證'!A8</x:f>
        <x:v>2024-03</x:v>
      </x:c>
      <x:c r="B19" s="42" t="n">
        <x:f>'用電向前驗證'!B8</x:f>
        <x:v>179435</x:v>
      </x:c>
      <x:c r="C19" s="42" t="n">
        <x:f>'用電向前驗證'!C8</x:f>
        <x:v>175922.00883717893</x:v>
      </x:c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27" t="str">
        <x:f>'用電向前驗證'!A9</x:f>
        <x:v>2024-04</x:v>
      </x:c>
      <x:c r="B20" s="42" t="n">
        <x:f>'用電向前驗證'!B9</x:f>
        <x:v>160096</x:v>
      </x:c>
      <x:c r="C20" s="42" t="n">
        <x:f>'用電向前驗證'!C9</x:f>
        <x:v>156435.63655450076</x:v>
      </x:c>
      <x:c r="D20" s="60"/>
      <x:c r="E20" s="60"/>
      <x:c r="F20" s="60"/>
      <x:c r="G20" s="60"/>
      <x:c r="H20" s="60"/>
      <x:c r="I20" s="60"/>
      <x:c r="J20" s="60"/>
      <x:c r="K20" s="60"/>
      <x:c r="L20" s="60"/>
    </x:row>
    <x:row r="21">
      <x:c r="A21" s="27" t="str">
        <x:f>'用電向前驗證'!A10</x:f>
        <x:v>2024-05</x:v>
      </x:c>
      <x:c r="B21" s="42" t="n">
        <x:f>'用電向前驗證'!B10</x:f>
        <x:v>188234</x:v>
      </x:c>
      <x:c r="C21" s="42" t="n">
        <x:f>'用電向前驗證'!C10</x:f>
        <x:v>155293.4775457747</x:v>
      </x:c>
      <x:c r="D21" s="60"/>
      <x:c r="E21" s="60"/>
      <x:c r="F21" s="60"/>
      <x:c r="G21" s="60"/>
      <x:c r="H21" s="60"/>
      <x:c r="I21" s="60"/>
      <x:c r="J21" s="60"/>
      <x:c r="K21" s="60"/>
      <x:c r="L21" s="60"/>
    </x:row>
    <x:row r="22">
      <x:c r="A22" s="27" t="str">
        <x:f>'用電向前驗證'!A11</x:f>
        <x:v>2024-06</x:v>
      </x:c>
      <x:c r="B22" s="42" t="n">
        <x:f>'用電向前驗證'!B11</x:f>
        <x:v>152214</x:v>
      </x:c>
      <x:c r="C22" s="42" t="n">
        <x:f>'用電向前驗證'!C11</x:f>
        <x:v>128354.9991027538</x:v>
      </x:c>
      <x:c r="D22" s="60"/>
      <x:c r="E22" s="60"/>
      <x:c r="F22" s="60"/>
      <x:c r="G22" s="60"/>
      <x:c r="H22" s="60"/>
      <x:c r="I22" s="60"/>
      <x:c r="J22" s="60"/>
      <x:c r="K22" s="60"/>
      <x:c r="L22" s="60"/>
    </x:row>
    <x:row r="23">
      <x:c r="A23" s="27" t="str">
        <x:f>'用電向前驗證'!A12</x:f>
        <x:v>2024-09</x:v>
      </x:c>
      <x:c r="B23" s="42" t="n">
        <x:f>'用電向前驗證'!B12</x:f>
        <x:v>188662</x:v>
      </x:c>
      <x:c r="C23" s="42" t="n">
        <x:f>'用電向前驗證'!C12</x:f>
        <x:v>113158.80482912809</x:v>
      </x:c>
      <x:c r="D23" s="60"/>
      <x:c r="E23" s="60"/>
      <x:c r="F23" s="60"/>
      <x:c r="G23" s="60"/>
      <x:c r="H23" s="60"/>
      <x:c r="I23" s="60"/>
      <x:c r="J23" s="60"/>
      <x:c r="K23" s="60"/>
      <x:c r="L23" s="60"/>
    </x:row>
    <x:row r="24">
      <x:c r="A24" s="27" t="str">
        <x:f>'用電向前驗證'!A13</x:f>
        <x:v>2024-10</x:v>
      </x:c>
      <x:c r="B24" s="42" t="n">
        <x:f>'用電向前驗證'!B13</x:f>
        <x:v>198184</x:v>
      </x:c>
      <x:c r="C24" s="42" t="n">
        <x:f>'用電向前驗證'!C13</x:f>
        <x:v>163800.39398282047</x:v>
      </x:c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7" t="str">
        <x:f>'用電向前驗證'!A14</x:f>
        <x:v>2024-11</x:v>
      </x:c>
      <x:c r="B25" s="42" t="n">
        <x:f>'用電向前驗證'!B14</x:f>
        <x:v>192439</x:v>
      </x:c>
      <x:c r="C25" s="42" t="n">
        <x:f>'用電向前驗證'!C14</x:f>
        <x:v>187011.73651191712</x:v>
      </x:c>
      <x:c r="D25" s="60"/>
      <x:c r="E25" s="60"/>
      <x:c r="F25" s="60"/>
      <x:c r="G25" s="60"/>
      <x:c r="H25" s="60"/>
      <x:c r="I25" s="60"/>
      <x:c r="J25" s="60"/>
      <x:c r="K25" s="60"/>
      <x:c r="L25" s="60"/>
    </x:row>
    <x:row r="26">
      <x:c r="A26" s="27" t="str">
        <x:f>'用電向前驗證'!A15</x:f>
        <x:v>2024-12</x:v>
      </x:c>
      <x:c r="B26" s="42" t="n">
        <x:f>'用電向前驗證'!B15</x:f>
        <x:v>202449</x:v>
      </x:c>
      <x:c r="C26" s="42" t="n">
        <x:f>'用電向前驗證'!C15</x:f>
        <x:v>189793.94789762268</x:v>
      </x:c>
      <x:c r="D26" s="60"/>
      <x:c r="E26" s="60"/>
      <x:c r="F26" s="60"/>
      <x:c r="G26" s="60"/>
      <x:c r="H26" s="60"/>
      <x:c r="I26" s="60"/>
      <x:c r="J26" s="60"/>
      <x:c r="K26" s="60"/>
      <x:c r="L26" s="60"/>
    </x:row>
    <x:row r="27">
      <x:c r="A27" s="27" t="str">
        <x:f>'用電向前驗證'!A16</x:f>
        <x:v>2025-01</x:v>
      </x:c>
      <x:c r="B27" s="42" t="n">
        <x:f>'用電向前驗證'!B16</x:f>
        <x:v>81892</x:v>
      </x:c>
      <x:c r="C27" s="42" t="n">
        <x:f>'用電向前驗證'!C16</x:f>
        <x:v>129327.60677459616</x:v>
      </x:c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27" t="str">
        <x:f>'用電向前驗證'!A17</x:f>
        <x:v>2025-02</x:v>
      </x:c>
      <x:c r="B28" s="42" t="n">
        <x:f>'用電向前驗證'!B17</x:f>
        <x:v>83245</x:v>
      </x:c>
      <x:c r="C28" s="42" t="n">
        <x:f>'用電向前驗證'!C17</x:f>
        <x:v>89044.94832448507</x:v>
      </x:c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7" t="str">
        <x:f>'用電向前驗證'!A18</x:f>
        <x:v>2025-03</x:v>
      </x:c>
      <x:c r="B29" s="42" t="n">
        <x:f>'用電向前驗證'!B18</x:f>
        <x:v>176188</x:v>
      </x:c>
      <x:c r="C29" s="42" t="n">
        <x:f>'用電向前驗證'!C18</x:f>
        <x:v>192702.88072231627</x:v>
      </x:c>
      <x:c r="D29" s="60"/>
      <x:c r="E29" s="60"/>
      <x:c r="F29" s="60"/>
      <x:c r="G29" s="60"/>
      <x:c r="H29" s="60"/>
      <x:c r="I29" s="60"/>
      <x:c r="J29" s="60"/>
      <x:c r="K29" s="60"/>
      <x:c r="L29" s="60"/>
    </x:row>
    <x:row r="30">
      <x:c r="A30" s="27" t="str">
        <x:f>'用電向前驗證'!A19</x:f>
        <x:v>2025-04</x:v>
      </x:c>
      <x:c r="B30" s="42" t="n">
        <x:f>'用電向前驗證'!B19</x:f>
        <x:v>173003</x:v>
      </x:c>
      <x:c r="C30" s="42" t="n">
        <x:f>'用電向前驗證'!C19</x:f>
        <x:v>171347.22785159078</x:v>
      </x:c>
      <x:c r="D30" s="60"/>
      <x:c r="E30" s="60"/>
      <x:c r="F30" s="60"/>
      <x:c r="G30" s="60"/>
      <x:c r="H30" s="60"/>
      <x:c r="I30" s="60"/>
      <x:c r="J30" s="60"/>
      <x:c r="K30" s="60"/>
      <x:c r="L30" s="60"/>
    </x:row>
    <x:row r="31">
      <x:c r="A31" s="27" t="str">
        <x:f>'用電向前驗證'!A20</x:f>
        <x:v>2025-05</x:v>
      </x:c>
      <x:c r="B31" s="42" t="n">
        <x:f>'用電向前驗證'!B20</x:f>
        <x:v>155462</x:v>
      </x:c>
      <x:c r="C31" s="42" t="n">
        <x:f>'用電向前驗證'!C20</x:f>
        <x:v>184204.7364096432</x:v>
      </x:c>
      <x:c r="D31" s="60"/>
      <x:c r="E31" s="60"/>
      <x:c r="F31" s="60"/>
      <x:c r="G31" s="60"/>
      <x:c r="H31" s="60"/>
      <x:c r="I31" s="60"/>
      <x:c r="J31" s="60"/>
      <x:c r="K31" s="60"/>
      <x:c r="L31" s="60"/>
    </x:row>
    <x:row r="32">
      <x:c r="A32" s="27" t="str">
        <x:f>'用電向前驗證'!A21</x:f>
        <x:v>2025-10</x:v>
      </x:c>
      <x:c r="B32" s="42" t="n">
        <x:f>'用電向前驗證'!B21</x:f>
        <x:v>154238</x:v>
      </x:c>
      <x:c r="C32" s="42" t="n">
        <x:f>'用電向前驗證'!C21</x:f>
        <x:v>175341.6598577286</x:v>
      </x:c>
      <x:c r="D32" s="60"/>
      <x:c r="E32" s="60"/>
      <x:c r="F32" s="60"/>
      <x:c r="G32" s="60"/>
      <x:c r="H32" s="60"/>
      <x:c r="I32" s="60"/>
      <x:c r="J32" s="60"/>
      <x:c r="K32" s="60"/>
      <x:c r="L32" s="60"/>
    </x:row>
    <x:row r="33">
      <x:c r="A33" s="27" t="str">
        <x:f>'用電向前驗證'!A22</x:f>
        <x:v>2025-11</x:v>
      </x:c>
      <x:c r="B33" s="42" t="n">
        <x:f>'用電向前驗證'!B22</x:f>
        <x:v>166729</x:v>
      </x:c>
      <x:c r="C33" s="42" t="n">
        <x:f>'用電向前驗證'!C22</x:f>
        <x:v>184199.167119848</x:v>
      </x:c>
      <x:c r="D33" s="60"/>
      <x:c r="E33" s="60"/>
      <x:c r="F33" s="60"/>
      <x:c r="G33" s="60"/>
      <x:c r="H33" s="60"/>
      <x:c r="I33" s="60"/>
      <x:c r="J33" s="60"/>
      <x:c r="K33" s="60"/>
      <x:c r="L33" s="60"/>
    </x:row>
    <x:row r="34">
      <x:c r="A34" s="27" t="str">
        <x:f>'用電向前驗證'!A23</x:f>
        <x:v>2025-12</x:v>
      </x:c>
      <x:c r="B34" s="42" t="n">
        <x:f>'用電向前驗證'!B23</x:f>
        <x:v>177761</x:v>
      </x:c>
      <x:c r="C34" s="42" t="n">
        <x:f>'用電向前驗證'!C23</x:f>
        <x:v>182573.55112476056</x:v>
      </x:c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7" t="str">
        <x:f>'用電向前驗證'!A24</x:f>
        <x:v>2026-01</x:v>
      </x:c>
      <x:c r="B35" s="42" t="n">
        <x:f>'用電向前驗證'!B24</x:f>
        <x:v>94718</x:v>
      </x:c>
      <x:c r="C35" s="42" t="n">
        <x:f>'用電向前驗證'!C24</x:f>
        <x:v>114916.28146646044</x:v>
      </x:c>
      <x:c r="D35" s="60"/>
      <x:c r="E35" s="60"/>
      <x:c r="F35" s="60"/>
      <x:c r="G35" s="60"/>
      <x:c r="H35" s="60"/>
      <x:c r="I35" s="60"/>
      <x:c r="J35" s="60"/>
      <x:c r="K35" s="60"/>
      <x:c r="L35" s="60"/>
    </x:row>
    <x:row r="36">
      <x:c r="A36" s="27" t="str">
        <x:f>'用電向前驗證'!A25</x:f>
        <x:v>2026-02</x:v>
      </x:c>
      <x:c r="B36" s="42" t="n">
        <x:f>'用電向前驗證'!B25</x:f>
        <x:v>40735</x:v>
      </x:c>
      <x:c r="C36" s="42" t="n">
        <x:f>'用電向前驗證'!C25</x:f>
        <x:v>85052.05207348408</x:v>
      </x:c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27" t="str">
        <x:f>'用電向前驗證'!A26</x:f>
        <x:v>2026-03</x:v>
      </x:c>
      <x:c r="B37" s="42" t="n">
        <x:f>'用電向前驗證'!B26</x:f>
        <x:v>141303</x:v>
      </x:c>
      <x:c r="C37" s="42" t="n">
        <x:f>'用電向前驗證'!C26</x:f>
        <x:v>186427.19310136177</x:v>
      </x:c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27" t="str">
        <x:f>'用電向前驗證'!A27</x:f>
        <x:v>2026-04</x:v>
      </x:c>
      <x:c r="B38" s="42" t="n">
        <x:f>'用電向前驗證'!B27</x:f>
        <x:v>141669</x:v>
      </x:c>
      <x:c r="C38" s="42" t="n">
        <x:f>'用電向前驗證'!C27</x:f>
        <x:v>164629.89600544458</x:v>
      </x:c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27" t="str">
        <x:f>'用電向前驗證'!A28</x:f>
        <x:v>2026-05</x:v>
      </x:c>
      <x:c r="B39" s="42" t="n">
        <x:f>'用電向前驗證'!B28</x:f>
        <x:v>173649</x:v>
      </x:c>
      <x:c r="C39" s="42" t="n">
        <x:f>'用電向前驗證'!C28</x:f>
        <x:v>167295.61203573245</x:v>
      </x:c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28" t="str">
        <x:f>'用電向前驗證'!A29</x:f>
        <x:v>2026-06</x:v>
      </x:c>
      <x:c r="B40" s="43" t="n">
        <x:f>'用電向前驗證'!B29</x:f>
        <x:v>146696</x:v>
      </x:c>
      <x:c r="C40" s="43" t="n">
        <x:f>'用電向前驗證'!C29</x:f>
        <x:v>136822.1233405412</x:v>
      </x:c>
      <x:c r="D40" s="60"/>
      <x:c r="E40" s="60"/>
      <x:c r="F40" s="60"/>
      <x:c r="G40" s="60"/>
      <x:c r="H40" s="60"/>
      <x:c r="I40" s="60"/>
      <x:c r="J40" s="60"/>
      <x:c r="K40" s="60"/>
      <x:c r="L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</x:row>
    <x:row r="43" ht="34" customHeight="1">
      <x:c r="A43" s="19" t="str">
        <x:v>館別</x:v>
      </x:c>
      <x:c r="B43" s="21" t="str">
        <x:v>現有冷氣台數</x:v>
      </x:c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</x:row>
    <x:row r="44">
      <x:c r="A44" s="26" t="str">
        <x:v>松濤一館</x:v>
      </x:c>
      <x:c r="B44" s="26" t="n">
        <x:f>SUMIF('冷氣清冊摘要'!A:A,A44,'冷氣清冊摘要'!E:E)</x:f>
        <x:v>171</x:v>
      </x:c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</x:row>
    <x:row r="45">
      <x:c r="A45" s="27" t="str">
        <x:v>松濤二館</x:v>
      </x:c>
      <x:c r="B45" s="27" t="n">
        <x:f>SUMIF('冷氣清冊摘要'!A:A,A45,'冷氣清冊摘要'!E:E)</x:f>
        <x:v>170</x:v>
      </x:c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</x:row>
    <x:row r="46">
      <x:c r="A46" s="28" t="str">
        <x:v>松濤三館</x:v>
      </x:c>
      <x:c r="B46" s="28" t="n">
        <x:f>SUMIF('冷氣清冊摘要'!A:A,A46,'冷氣清冊摘要'!E:E)</x:f>
        <x:v>189</x:v>
      </x:c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9fd312ca6b9b462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8" hidden="0" customWidth="1"/>
    <x:col min="4" max="4" width="18" hidden="0" customWidth="1"/>
    <x:col min="5" max="5" width="12" hidden="0" customWidth="1"/>
    <x:col min="6" max="6" width="14" hidden="0" customWidth="1"/>
    <x:col min="7" max="7" width="16" hidden="0" customWidth="1"/>
    <x:col min="8" max="8" width="34" hidden="0" customWidth="1"/>
  </x:cols>
  <x:sheetData>
    <x:row r="1" ht="32" customHeight="1">
      <x:c r="A1" s="3" t="str">
        <x:v>松濤一至三館合計月用電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三館合計只有在三館皆為有效觀測時才填值；114 年 9 月二館原表註記電表有問題，因此合計留白、不插補。115 年 7–12 月尚未提供。 </x:v>
      </x:c>
      <x:c r="B2" s="7"/>
      <x:c r="C2" s="7"/>
      <x:c r="D2" s="7"/>
      <x:c r="E2" s="7"/>
      <x:c r="F2" s="7"/>
      <x:c r="G2" s="7"/>
      <x:c r="H2" s="7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 ht="34" customHeight="1">
      <x:c r="A5" s="19" t="str">
        <x:v>月份</x:v>
      </x:c>
      <x:c r="B5" s="20" t="str">
        <x:v>西元年</x:v>
      </x:c>
      <x:c r="C5" s="20" t="str">
        <x:v>月</x:v>
      </x:c>
      <x:c r="D5" s="20" t="str">
        <x:v>三館合計_kWh</x:v>
      </x:c>
      <x:c r="E5" s="20" t="str">
        <x:v>有效館數</x:v>
      </x:c>
      <x:c r="F5" s="20" t="str">
        <x:v>三館皆有效</x:v>
      </x:c>
      <x:c r="G5" s="20" t="str">
        <x:v>嚴格模型納入</x:v>
      </x:c>
      <x:c r="H5" s="21" t="str">
        <x:v>品質狀態</x:v>
      </x:c>
    </x:row>
    <x:row r="6">
      <x:c r="A6" s="26" t="str">
        <x:v>2021-01</x:v>
      </x:c>
      <x:c r="B6" s="26" t="n">
        <x:v>2021</x:v>
      </x:c>
      <x:c r="C6" s="26" t="n">
        <x:v>1</x:v>
      </x:c>
      <x:c r="D6" s="41" t="n">
        <x:v>104825.65</x:v>
      </x:c>
      <x:c r="E6" s="26" t="n">
        <x:v>3</x:v>
      </x:c>
      <x:c r="F6" s="26" t="str">
        <x:v>是</x:v>
      </x:c>
      <x:c r="G6" s="26" t="str">
        <x:v>是</x:v>
      </x:c>
      <x:c r="H6" s="26" t="str">
        <x:v>有效</x:v>
      </x:c>
    </x:row>
    <x:row r="7">
      <x:c r="A7" s="27" t="str">
        <x:v>2021-02</x:v>
      </x:c>
      <x:c r="B7" s="27" t="n">
        <x:v>2021</x:v>
      </x:c>
      <x:c r="C7" s="27" t="n">
        <x:v>2</x:v>
      </x:c>
      <x:c r="D7" s="42" t="n">
        <x:v>52197.5</x:v>
      </x:c>
      <x:c r="E7" s="27" t="n">
        <x:v>3</x:v>
      </x:c>
      <x:c r="F7" s="27" t="str">
        <x:v>是</x:v>
      </x:c>
      <x:c r="G7" s="27" t="str">
        <x:v>是</x:v>
      </x:c>
      <x:c r="H7" s="27" t="str">
        <x:v>有效</x:v>
      </x:c>
    </x:row>
    <x:row r="8">
      <x:c r="A8" s="27" t="str">
        <x:v>2021-03</x:v>
      </x:c>
      <x:c r="B8" s="27" t="n">
        <x:v>2021</x:v>
      </x:c>
      <x:c r="C8" s="27" t="n">
        <x:v>3</x:v>
      </x:c>
      <x:c r="D8" s="42" t="n">
        <x:v>162241</x:v>
      </x:c>
      <x:c r="E8" s="27" t="n">
        <x:v>3</x:v>
      </x:c>
      <x:c r="F8" s="27" t="str">
        <x:v>是</x:v>
      </x:c>
      <x:c r="G8" s="27" t="str">
        <x:v>是</x:v>
      </x:c>
      <x:c r="H8" s="27" t="str">
        <x:v>有效</x:v>
      </x:c>
    </x:row>
    <x:row r="9">
      <x:c r="A9" s="27" t="str">
        <x:v>2021-04</x:v>
      </x:c>
      <x:c r="B9" s="27" t="n">
        <x:v>2021</x:v>
      </x:c>
      <x:c r="C9" s="27" t="n">
        <x:v>4</x:v>
      </x:c>
      <x:c r="D9" s="42" t="n">
        <x:v>151324.4</x:v>
      </x:c>
      <x:c r="E9" s="27" t="n">
        <x:v>3</x:v>
      </x:c>
      <x:c r="F9" s="27" t="str">
        <x:v>是</x:v>
      </x:c>
      <x:c r="G9" s="27" t="str">
        <x:v>是</x:v>
      </x:c>
      <x:c r="H9" s="27" t="str">
        <x:v>有效</x:v>
      </x:c>
    </x:row>
    <x:row r="10">
      <x:c r="A10" s="27" t="str">
        <x:v>2021-05</x:v>
      </x:c>
      <x:c r="B10" s="27" t="n">
        <x:v>2021</x:v>
      </x:c>
      <x:c r="C10" s="27" t="n">
        <x:v>5</x:v>
      </x:c>
      <x:c r="D10" s="42" t="n">
        <x:v>175411</x:v>
      </x:c>
      <x:c r="E10" s="27" t="n">
        <x:v>3</x:v>
      </x:c>
      <x:c r="F10" s="27" t="str">
        <x:v>是</x:v>
      </x:c>
      <x:c r="G10" s="27" t="str">
        <x:v>是</x:v>
      </x:c>
      <x:c r="H10" s="27" t="str">
        <x:v>有效</x:v>
      </x:c>
    </x:row>
    <x:row r="11">
      <x:c r="A11" s="27" t="str">
        <x:v>2021-06</x:v>
      </x:c>
      <x:c r="B11" s="27" t="n">
        <x:v>2021</x:v>
      </x:c>
      <x:c r="C11" s="27" t="n">
        <x:v>6</x:v>
      </x:c>
      <x:c r="D11" s="42" t="n">
        <x:v>80786</x:v>
      </x:c>
      <x:c r="E11" s="27" t="n">
        <x:v>3</x:v>
      </x:c>
      <x:c r="F11" s="27" t="str">
        <x:v>是</x:v>
      </x:c>
      <x:c r="G11" s="27" t="str">
        <x:v>是</x:v>
      </x:c>
      <x:c r="H11" s="27" t="str">
        <x:v>有效</x:v>
      </x:c>
    </x:row>
    <x:row r="12">
      <x:c r="A12" s="27" t="str">
        <x:v>2021-07</x:v>
      </x:c>
      <x:c r="B12" s="27" t="n">
        <x:v>2021</x:v>
      </x:c>
      <x:c r="C12" s="27" t="n">
        <x:v>7</x:v>
      </x:c>
      <x:c r="D12" s="42" t="n">
        <x:v>48725</x:v>
      </x:c>
      <x:c r="E12" s="27" t="n">
        <x:v>3</x:v>
      </x:c>
      <x:c r="F12" s="27" t="str">
        <x:v>是</x:v>
      </x:c>
      <x:c r="G12" s="27" t="str">
        <x:v>是</x:v>
      </x:c>
      <x:c r="H12" s="27" t="str">
        <x:v>有效</x:v>
      </x:c>
    </x:row>
    <x:row r="13">
      <x:c r="A13" s="27" t="str">
        <x:v>2021-08</x:v>
      </x:c>
      <x:c r="B13" s="27" t="n">
        <x:v>2021</x:v>
      </x:c>
      <x:c r="C13" s="27" t="n">
        <x:v>8</x:v>
      </x:c>
      <x:c r="D13" s="42" t="n">
        <x:v>37878</x:v>
      </x:c>
      <x:c r="E13" s="27" t="n">
        <x:v>3</x:v>
      </x:c>
      <x:c r="F13" s="27" t="str">
        <x:v>是</x:v>
      </x:c>
      <x:c r="G13" s="27" t="str">
        <x:v>是</x:v>
      </x:c>
      <x:c r="H13" s="27" t="str">
        <x:v>有效</x:v>
      </x:c>
    </x:row>
    <x:row r="14">
      <x:c r="A14" s="27" t="str">
        <x:v>2021-09</x:v>
      </x:c>
      <x:c r="B14" s="27" t="n">
        <x:v>2021</x:v>
      </x:c>
      <x:c r="C14" s="27" t="n">
        <x:v>9</x:v>
      </x:c>
      <x:c r="D14" s="42" t="n">
        <x:v>100931</x:v>
      </x:c>
      <x:c r="E14" s="27" t="n">
        <x:v>3</x:v>
      </x:c>
      <x:c r="F14" s="27" t="str">
        <x:v>是</x:v>
      </x:c>
      <x:c r="G14" s="27" t="str">
        <x:v>是</x:v>
      </x:c>
      <x:c r="H14" s="27" t="str">
        <x:v>有效</x:v>
      </x:c>
    </x:row>
    <x:row r="15">
      <x:c r="A15" s="27" t="str">
        <x:v>2021-10</x:v>
      </x:c>
      <x:c r="B15" s="27" t="n">
        <x:v>2021</x:v>
      </x:c>
      <x:c r="C15" s="27" t="n">
        <x:v>10</x:v>
      </x:c>
      <x:c r="D15" s="42" t="n">
        <x:v>142263.41</x:v>
      </x:c>
      <x:c r="E15" s="27" t="n">
        <x:v>3</x:v>
      </x:c>
      <x:c r="F15" s="27" t="str">
        <x:v>是</x:v>
      </x:c>
      <x:c r="G15" s="27" t="str">
        <x:v>是</x:v>
      </x:c>
      <x:c r="H15" s="27" t="str">
        <x:v>有效</x:v>
      </x:c>
    </x:row>
    <x:row r="16">
      <x:c r="A16" s="27" t="str">
        <x:v>2021-11</x:v>
      </x:c>
      <x:c r="B16" s="27" t="n">
        <x:v>2021</x:v>
      </x:c>
      <x:c r="C16" s="27" t="n">
        <x:v>11</x:v>
      </x:c>
      <x:c r="D16" s="42" t="n">
        <x:v>150208.14</x:v>
      </x:c>
      <x:c r="E16" s="27" t="n">
        <x:v>3</x:v>
      </x:c>
      <x:c r="F16" s="27" t="str">
        <x:v>是</x:v>
      </x:c>
      <x:c r="G16" s="27" t="str">
        <x:v>是</x:v>
      </x:c>
      <x:c r="H16" s="27" t="str">
        <x:v>有效</x:v>
      </x:c>
    </x:row>
    <x:row r="17">
      <x:c r="A17" s="27" t="str">
        <x:v>2021-12</x:v>
      </x:c>
      <x:c r="B17" s="27" t="n">
        <x:v>2021</x:v>
      </x:c>
      <x:c r="C17" s="27" t="n">
        <x:v>12</x:v>
      </x:c>
      <x:c r="D17" s="42" t="n">
        <x:v>161225.95</x:v>
      </x:c>
      <x:c r="E17" s="27" t="n">
        <x:v>3</x:v>
      </x:c>
      <x:c r="F17" s="27" t="str">
        <x:v>是</x:v>
      </x:c>
      <x:c r="G17" s="27" t="str">
        <x:v>是</x:v>
      </x:c>
      <x:c r="H17" s="27" t="str">
        <x:v>有效</x:v>
      </x:c>
    </x:row>
    <x:row r="18">
      <x:c r="A18" s="27" t="str">
        <x:v>2022-01</x:v>
      </x:c>
      <x:c r="B18" s="27" t="n">
        <x:v>2022</x:v>
      </x:c>
      <x:c r="C18" s="27" t="n">
        <x:v>1</x:v>
      </x:c>
      <x:c r="D18" s="42" t="n">
        <x:v>111889.6</x:v>
      </x:c>
      <x:c r="E18" s="27" t="n">
        <x:v>3</x:v>
      </x:c>
      <x:c r="F18" s="27" t="str">
        <x:v>是</x:v>
      </x:c>
      <x:c r="G18" s="27" t="str">
        <x:v>是</x:v>
      </x:c>
      <x:c r="H18" s="27" t="str">
        <x:v>有效</x:v>
      </x:c>
    </x:row>
    <x:row r="19">
      <x:c r="A19" s="27" t="str">
        <x:v>2022-02</x:v>
      </x:c>
      <x:c r="B19" s="27" t="n">
        <x:v>2022</x:v>
      </x:c>
      <x:c r="C19" s="27" t="n">
        <x:v>2</x:v>
      </x:c>
      <x:c r="D19" s="42" t="n">
        <x:v>55517.62</x:v>
      </x:c>
      <x:c r="E19" s="27" t="n">
        <x:v>3</x:v>
      </x:c>
      <x:c r="F19" s="27" t="str">
        <x:v>是</x:v>
      </x:c>
      <x:c r="G19" s="27" t="str">
        <x:v>是</x:v>
      </x:c>
      <x:c r="H19" s="27" t="str">
        <x:v>有效</x:v>
      </x:c>
    </x:row>
    <x:row r="20">
      <x:c r="A20" s="27" t="str">
        <x:v>2022-03</x:v>
      </x:c>
      <x:c r="B20" s="27" t="n">
        <x:v>2022</x:v>
      </x:c>
      <x:c r="C20" s="27" t="n">
        <x:v>3</x:v>
      </x:c>
      <x:c r="D20" s="42" t="n">
        <x:v>170691</x:v>
      </x:c>
      <x:c r="E20" s="27" t="n">
        <x:v>3</x:v>
      </x:c>
      <x:c r="F20" s="27" t="str">
        <x:v>是</x:v>
      </x:c>
      <x:c r="G20" s="27" t="str">
        <x:v>是</x:v>
      </x:c>
      <x:c r="H20" s="27" t="str">
        <x:v>有效</x:v>
      </x:c>
    </x:row>
    <x:row r="21">
      <x:c r="A21" s="27" t="str">
        <x:v>2022-04</x:v>
      </x:c>
      <x:c r="B21" s="27" t="n">
        <x:v>2022</x:v>
      </x:c>
      <x:c r="C21" s="27" t="n">
        <x:v>4</x:v>
      </x:c>
      <x:c r="D21" s="42" t="n">
        <x:v>148050</x:v>
      </x:c>
      <x:c r="E21" s="27" t="n">
        <x:v>3</x:v>
      </x:c>
      <x:c r="F21" s="27" t="str">
        <x:v>是</x:v>
      </x:c>
      <x:c r="G21" s="27" t="str">
        <x:v>是</x:v>
      </x:c>
      <x:c r="H21" s="27" t="str">
        <x:v>有效</x:v>
      </x:c>
    </x:row>
    <x:row r="22">
      <x:c r="A22" s="27" t="str">
        <x:v>2022-05</x:v>
      </x:c>
      <x:c r="B22" s="27" t="n">
        <x:v>2022</x:v>
      </x:c>
      <x:c r="C22" s="27" t="n">
        <x:v>5</x:v>
      </x:c>
      <x:c r="D22" s="42" t="n">
        <x:v>132817</x:v>
      </x:c>
      <x:c r="E22" s="27" t="n">
        <x:v>3</x:v>
      </x:c>
      <x:c r="F22" s="27" t="str">
        <x:v>是</x:v>
      </x:c>
      <x:c r="G22" s="27" t="str">
        <x:v>是</x:v>
      </x:c>
      <x:c r="H22" s="27" t="str">
        <x:v>有效</x:v>
      </x:c>
    </x:row>
    <x:row r="23">
      <x:c r="A23" s="27" t="str">
        <x:v>2022-06</x:v>
      </x:c>
      <x:c r="B23" s="27" t="n">
        <x:v>2022</x:v>
      </x:c>
      <x:c r="C23" s="27" t="n">
        <x:v>6</x:v>
      </x:c>
      <x:c r="D23" s="42" t="n">
        <x:v>112009</x:v>
      </x:c>
      <x:c r="E23" s="27" t="n">
        <x:v>3</x:v>
      </x:c>
      <x:c r="F23" s="27" t="str">
        <x:v>是</x:v>
      </x:c>
      <x:c r="G23" s="27" t="str">
        <x:v>是</x:v>
      </x:c>
      <x:c r="H23" s="27" t="str">
        <x:v>有效</x:v>
      </x:c>
    </x:row>
    <x:row r="24">
      <x:c r="A24" s="27" t="str">
        <x:v>2022-07</x:v>
      </x:c>
      <x:c r="B24" s="27" t="n">
        <x:v>2022</x:v>
      </x:c>
      <x:c r="C24" s="27" t="n">
        <x:v>7</x:v>
      </x:c>
      <x:c r="D24" s="42" t="n">
        <x:v>44954</x:v>
      </x:c>
      <x:c r="E24" s="27" t="n">
        <x:v>3</x:v>
      </x:c>
      <x:c r="F24" s="27" t="str">
        <x:v>是</x:v>
      </x:c>
      <x:c r="G24" s="27" t="str">
        <x:v>是</x:v>
      </x:c>
      <x:c r="H24" s="27" t="str">
        <x:v>有效</x:v>
      </x:c>
    </x:row>
    <x:row r="25">
      <x:c r="A25" s="27" t="str">
        <x:v>2022-08</x:v>
      </x:c>
      <x:c r="B25" s="27" t="n">
        <x:v>2022</x:v>
      </x:c>
      <x:c r="C25" s="27" t="n">
        <x:v>8</x:v>
      </x:c>
      <x:c r="D25" s="42" t="n">
        <x:v>52131</x:v>
      </x:c>
      <x:c r="E25" s="27" t="n">
        <x:v>3</x:v>
      </x:c>
      <x:c r="F25" s="27" t="str">
        <x:v>是</x:v>
      </x:c>
      <x:c r="G25" s="27" t="str">
        <x:v>是</x:v>
      </x:c>
      <x:c r="H25" s="27" t="str">
        <x:v>有效</x:v>
      </x:c>
    </x:row>
    <x:row r="26">
      <x:c r="A26" s="27" t="str">
        <x:v>2022-09</x:v>
      </x:c>
      <x:c r="B26" s="27" t="n">
        <x:v>2022</x:v>
      </x:c>
      <x:c r="C26" s="27" t="n">
        <x:v>9</x:v>
      </x:c>
      <x:c r="D26" s="42" t="n">
        <x:v>82915.9</x:v>
      </x:c>
      <x:c r="E26" s="27" t="n">
        <x:v>3</x:v>
      </x:c>
      <x:c r="F26" s="27" t="str">
        <x:v>是</x:v>
      </x:c>
      <x:c r="G26" s="27" t="str">
        <x:v>是</x:v>
      </x:c>
      <x:c r="H26" s="27" t="str">
        <x:v>有效</x:v>
      </x:c>
    </x:row>
    <x:row r="27">
      <x:c r="A27" s="27" t="str">
        <x:v>2022-10</x:v>
      </x:c>
      <x:c r="B27" s="27" t="n">
        <x:v>2022</x:v>
      </x:c>
      <x:c r="C27" s="27" t="n">
        <x:v>10</x:v>
      </x:c>
      <x:c r="D27" s="42" t="n">
        <x:v>144135.6</x:v>
      </x:c>
      <x:c r="E27" s="27" t="n">
        <x:v>3</x:v>
      </x:c>
      <x:c r="F27" s="27" t="str">
        <x:v>是</x:v>
      </x:c>
      <x:c r="G27" s="27" t="str">
        <x:v>是</x:v>
      </x:c>
      <x:c r="H27" s="27" t="str">
        <x:v>有效</x:v>
      </x:c>
    </x:row>
    <x:row r="28">
      <x:c r="A28" s="27" t="str">
        <x:v>2022-11</x:v>
      </x:c>
      <x:c r="B28" s="27" t="n">
        <x:v>2022</x:v>
      </x:c>
      <x:c r="C28" s="27" t="n">
        <x:v>11</x:v>
      </x:c>
      <x:c r="D28" s="42" t="n">
        <x:v>161382.25</x:v>
      </x:c>
      <x:c r="E28" s="27" t="n">
        <x:v>3</x:v>
      </x:c>
      <x:c r="F28" s="27" t="str">
        <x:v>是</x:v>
      </x:c>
      <x:c r="G28" s="27" t="str">
        <x:v>是</x:v>
      </x:c>
      <x:c r="H28" s="27" t="str">
        <x:v>有效</x:v>
      </x:c>
    </x:row>
    <x:row r="29">
      <x:c r="A29" s="27" t="str">
        <x:v>2022-12</x:v>
      </x:c>
      <x:c r="B29" s="27" t="n">
        <x:v>2022</x:v>
      </x:c>
      <x:c r="C29" s="27" t="n">
        <x:v>12</x:v>
      </x:c>
      <x:c r="D29" s="42" t="n">
        <x:v>164384.5</x:v>
      </x:c>
      <x:c r="E29" s="27" t="n">
        <x:v>3</x:v>
      </x:c>
      <x:c r="F29" s="27" t="str">
        <x:v>是</x:v>
      </x:c>
      <x:c r="G29" s="27" t="str">
        <x:v>是</x:v>
      </x:c>
      <x:c r="H29" s="27" t="str">
        <x:v>有效</x:v>
      </x:c>
    </x:row>
    <x:row r="30">
      <x:c r="A30" s="27" t="str">
        <x:v>2023-01</x:v>
      </x:c>
      <x:c r="B30" s="27" t="n">
        <x:v>2023</x:v>
      </x:c>
      <x:c r="C30" s="27" t="n">
        <x:v>1</x:v>
      </x:c>
      <x:c r="D30" s="42" t="n">
        <x:v>92304</x:v>
      </x:c>
      <x:c r="E30" s="27" t="n">
        <x:v>3</x:v>
      </x:c>
      <x:c r="F30" s="27" t="str">
        <x:v>是</x:v>
      </x:c>
      <x:c r="G30" s="27" t="str">
        <x:v>是</x:v>
      </x:c>
      <x:c r="H30" s="27" t="str">
        <x:v>有效</x:v>
      </x:c>
    </x:row>
    <x:row r="31">
      <x:c r="A31" s="27" t="str">
        <x:v>2023-02</x:v>
      </x:c>
      <x:c r="B31" s="27" t="n">
        <x:v>2023</x:v>
      </x:c>
      <x:c r="C31" s="27" t="n">
        <x:v>2</x:v>
      </x:c>
      <x:c r="D31" s="42" t="n">
        <x:v>60897.105</x:v>
      </x:c>
      <x:c r="E31" s="27" t="n">
        <x:v>3</x:v>
      </x:c>
      <x:c r="F31" s="27" t="str">
        <x:v>是</x:v>
      </x:c>
      <x:c r="G31" s="27" t="str">
        <x:v>是</x:v>
      </x:c>
      <x:c r="H31" s="27" t="str">
        <x:v>有效</x:v>
      </x:c>
    </x:row>
    <x:row r="32">
      <x:c r="A32" s="27" t="str">
        <x:v>2023-03</x:v>
      </x:c>
      <x:c r="B32" s="27" t="n">
        <x:v>2023</x:v>
      </x:c>
      <x:c r="C32" s="27" t="n">
        <x:v>3</x:v>
      </x:c>
      <x:c r="D32" s="42" t="n">
        <x:v>170447</x:v>
      </x:c>
      <x:c r="E32" s="27" t="n">
        <x:v>3</x:v>
      </x:c>
      <x:c r="F32" s="27" t="str">
        <x:v>是</x:v>
      </x:c>
      <x:c r="G32" s="27" t="str">
        <x:v>是</x:v>
      </x:c>
      <x:c r="H32" s="27" t="str">
        <x:v>有效</x:v>
      </x:c>
    </x:row>
    <x:row r="33">
      <x:c r="A33" s="27" t="str">
        <x:v>2023-04</x:v>
      </x:c>
      <x:c r="B33" s="27" t="n">
        <x:v>2023</x:v>
      </x:c>
      <x:c r="C33" s="27" t="n">
        <x:v>4</x:v>
      </x:c>
      <x:c r="D33" s="42" t="n">
        <x:v>151545.8</x:v>
      </x:c>
      <x:c r="E33" s="27" t="n">
        <x:v>3</x:v>
      </x:c>
      <x:c r="F33" s="27" t="str">
        <x:v>是</x:v>
      </x:c>
      <x:c r="G33" s="27" t="str">
        <x:v>是</x:v>
      </x:c>
      <x:c r="H33" s="27" t="str">
        <x:v>有效</x:v>
      </x:c>
    </x:row>
    <x:row r="34">
      <x:c r="A34" s="27" t="str">
        <x:v>2023-05</x:v>
      </x:c>
      <x:c r="B34" s="27" t="n">
        <x:v>2023</x:v>
      </x:c>
      <x:c r="C34" s="27" t="n">
        <x:v>5</x:v>
      </x:c>
      <x:c r="D34" s="42" t="n">
        <x:v>163950</x:v>
      </x:c>
      <x:c r="E34" s="27" t="n">
        <x:v>3</x:v>
      </x:c>
      <x:c r="F34" s="27" t="str">
        <x:v>是</x:v>
      </x:c>
      <x:c r="G34" s="27" t="str">
        <x:v>是</x:v>
      </x:c>
      <x:c r="H34" s="27" t="str">
        <x:v>有效</x:v>
      </x:c>
    </x:row>
    <x:row r="35">
      <x:c r="A35" s="27" t="str">
        <x:v>2023-06</x:v>
      </x:c>
      <x:c r="B35" s="27" t="n">
        <x:v>2023</x:v>
      </x:c>
      <x:c r="C35" s="27" t="n">
        <x:v>6</x:v>
      </x:c>
      <x:c r="D35" s="42" t="n">
        <x:v>123756</x:v>
      </x:c>
      <x:c r="E35" s="27" t="n">
        <x:v>3</x:v>
      </x:c>
      <x:c r="F35" s="27" t="str">
        <x:v>是</x:v>
      </x:c>
      <x:c r="G35" s="27" t="str">
        <x:v>是</x:v>
      </x:c>
      <x:c r="H35" s="27" t="str">
        <x:v>有效</x:v>
      </x:c>
    </x:row>
    <x:row r="36">
      <x:c r="A36" s="27" t="str">
        <x:v>2023-07</x:v>
      </x:c>
      <x:c r="B36" s="27" t="n">
        <x:v>2023</x:v>
      </x:c>
      <x:c r="C36" s="27" t="n">
        <x:v>7</x:v>
      </x:c>
      <x:c r="D36" s="42" t="n">
        <x:v>46761.605</x:v>
      </x:c>
      <x:c r="E36" s="27" t="n">
        <x:v>3</x:v>
      </x:c>
      <x:c r="F36" s="27" t="str">
        <x:v>是</x:v>
      </x:c>
      <x:c r="G36" s="27" t="str">
        <x:v>是</x:v>
      </x:c>
      <x:c r="H36" s="27" t="str">
        <x:v>有效</x:v>
      </x:c>
    </x:row>
    <x:row r="37">
      <x:c r="A37" s="27" t="str">
        <x:v>2023-08</x:v>
      </x:c>
      <x:c r="B37" s="27" t="n">
        <x:v>2023</x:v>
      </x:c>
      <x:c r="C37" s="27" t="n">
        <x:v>8</x:v>
      </x:c>
      <x:c r="D37" s="42" t="n">
        <x:v>51081</x:v>
      </x:c>
      <x:c r="E37" s="27" t="n">
        <x:v>3</x:v>
      </x:c>
      <x:c r="F37" s="27" t="str">
        <x:v>是</x:v>
      </x:c>
      <x:c r="G37" s="27" t="str">
        <x:v>是</x:v>
      </x:c>
      <x:c r="H37" s="27" t="str">
        <x:v>有效</x:v>
      </x:c>
    </x:row>
    <x:row r="38">
      <x:c r="A38" s="27" t="str">
        <x:v>2023-09</x:v>
      </x:c>
      <x:c r="B38" s="27" t="n">
        <x:v>2023</x:v>
      </x:c>
      <x:c r="C38" s="27" t="n">
        <x:v>9</x:v>
      </x:c>
      <x:c r="D38" s="42" t="n">
        <x:v>97558.11875</x:v>
      </x:c>
      <x:c r="E38" s="27" t="n">
        <x:v>3</x:v>
      </x:c>
      <x:c r="F38" s="27" t="str">
        <x:v>是</x:v>
      </x:c>
      <x:c r="G38" s="27" t="str">
        <x:v>是</x:v>
      </x:c>
      <x:c r="H38" s="27" t="str">
        <x:v>有效</x:v>
      </x:c>
    </x:row>
    <x:row r="39">
      <x:c r="A39" s="27" t="str">
        <x:v>2023-10</x:v>
      </x:c>
      <x:c r="B39" s="27" t="n">
        <x:v>2023</x:v>
      </x:c>
      <x:c r="C39" s="27" t="n">
        <x:v>10</x:v>
      </x:c>
      <x:c r="D39" s="42" t="n">
        <x:v>149893.8</x:v>
      </x:c>
      <x:c r="E39" s="27" t="n">
        <x:v>3</x:v>
      </x:c>
      <x:c r="F39" s="27" t="str">
        <x:v>是</x:v>
      </x:c>
      <x:c r="G39" s="27" t="str">
        <x:v>是</x:v>
      </x:c>
      <x:c r="H39" s="27" t="str">
        <x:v>有效</x:v>
      </x:c>
    </x:row>
    <x:row r="40">
      <x:c r="A40" s="27" t="str">
        <x:v>2023-11</x:v>
      </x:c>
      <x:c r="B40" s="27" t="n">
        <x:v>2023</x:v>
      </x:c>
      <x:c r="C40" s="27" t="n">
        <x:v>11</x:v>
      </x:c>
      <x:c r="D40" s="42" t="n">
        <x:v>166012.25</x:v>
      </x:c>
      <x:c r="E40" s="27" t="n">
        <x:v>3</x:v>
      </x:c>
      <x:c r="F40" s="27" t="str">
        <x:v>是</x:v>
      </x:c>
      <x:c r="G40" s="27" t="str">
        <x:v>是</x:v>
      </x:c>
      <x:c r="H40" s="27" t="str">
        <x:v>有效</x:v>
      </x:c>
    </x:row>
    <x:row r="41">
      <x:c r="A41" s="27" t="str">
        <x:v>2023-12</x:v>
      </x:c>
      <x:c r="B41" s="27" t="n">
        <x:v>2023</x:v>
      </x:c>
      <x:c r="C41" s="27" t="n">
        <x:v>12</x:v>
      </x:c>
      <x:c r="D41" s="42" t="n">
        <x:v>163002.75</x:v>
      </x:c>
      <x:c r="E41" s="27" t="n">
        <x:v>3</x:v>
      </x:c>
      <x:c r="F41" s="27" t="str">
        <x:v>是</x:v>
      </x:c>
      <x:c r="G41" s="27" t="str">
        <x:v>是</x:v>
      </x:c>
      <x:c r="H41" s="27" t="str">
        <x:v>有效</x:v>
      </x:c>
    </x:row>
    <x:row r="42">
      <x:c r="A42" s="27" t="str">
        <x:v>2024-01</x:v>
      </x:c>
      <x:c r="B42" s="27" t="n">
        <x:v>2024</x:v>
      </x:c>
      <x:c r="C42" s="27" t="n">
        <x:v>1</x:v>
      </x:c>
      <x:c r="D42" s="42" t="n">
        <x:v>99858</x:v>
      </x:c>
      <x:c r="E42" s="27" t="n">
        <x:v>3</x:v>
      </x:c>
      <x:c r="F42" s="27" t="str">
        <x:v>是</x:v>
      </x:c>
      <x:c r="G42" s="27" t="str">
        <x:v>是</x:v>
      </x:c>
      <x:c r="H42" s="27" t="str">
        <x:v>有效</x:v>
      </x:c>
    </x:row>
    <x:row r="43">
      <x:c r="A43" s="27" t="str">
        <x:v>2024-02</x:v>
      </x:c>
      <x:c r="B43" s="27" t="n">
        <x:v>2024</x:v>
      </x:c>
      <x:c r="C43" s="27" t="n">
        <x:v>2</x:v>
      </x:c>
      <x:c r="D43" s="42" t="n">
        <x:v>83968</x:v>
      </x:c>
      <x:c r="E43" s="27" t="n">
        <x:v>3</x:v>
      </x:c>
      <x:c r="F43" s="27" t="str">
        <x:v>是</x:v>
      </x:c>
      <x:c r="G43" s="27" t="str">
        <x:v>是</x:v>
      </x:c>
      <x:c r="H43" s="27" t="str">
        <x:v>有效</x:v>
      </x:c>
    </x:row>
    <x:row r="44">
      <x:c r="A44" s="27" t="str">
        <x:v>2024-03</x:v>
      </x:c>
      <x:c r="B44" s="27" t="n">
        <x:v>2024</x:v>
      </x:c>
      <x:c r="C44" s="27" t="n">
        <x:v>3</x:v>
      </x:c>
      <x:c r="D44" s="42" t="n">
        <x:v>179435</x:v>
      </x:c>
      <x:c r="E44" s="27" t="n">
        <x:v>3</x:v>
      </x:c>
      <x:c r="F44" s="27" t="str">
        <x:v>是</x:v>
      </x:c>
      <x:c r="G44" s="27" t="str">
        <x:v>是</x:v>
      </x:c>
      <x:c r="H44" s="27" t="str">
        <x:v>有效</x:v>
      </x:c>
    </x:row>
    <x:row r="45">
      <x:c r="A45" s="27" t="str">
        <x:v>2024-04</x:v>
      </x:c>
      <x:c r="B45" s="27" t="n">
        <x:v>2024</x:v>
      </x:c>
      <x:c r="C45" s="27" t="n">
        <x:v>4</x:v>
      </x:c>
      <x:c r="D45" s="42" t="n">
        <x:v>160096</x:v>
      </x:c>
      <x:c r="E45" s="27" t="n">
        <x:v>3</x:v>
      </x:c>
      <x:c r="F45" s="27" t="str">
        <x:v>是</x:v>
      </x:c>
      <x:c r="G45" s="27" t="str">
        <x:v>是</x:v>
      </x:c>
      <x:c r="H45" s="27" t="str">
        <x:v>有效</x:v>
      </x:c>
    </x:row>
    <x:row r="46">
      <x:c r="A46" s="27" t="str">
        <x:v>2024-05</x:v>
      </x:c>
      <x:c r="B46" s="27" t="n">
        <x:v>2024</x:v>
      </x:c>
      <x:c r="C46" s="27" t="n">
        <x:v>5</x:v>
      </x:c>
      <x:c r="D46" s="42" t="n">
        <x:v>188234</x:v>
      </x:c>
      <x:c r="E46" s="27" t="n">
        <x:v>3</x:v>
      </x:c>
      <x:c r="F46" s="27" t="str">
        <x:v>是</x:v>
      </x:c>
      <x:c r="G46" s="27" t="str">
        <x:v>是</x:v>
      </x:c>
      <x:c r="H46" s="27" t="str">
        <x:v>有效</x:v>
      </x:c>
    </x:row>
    <x:row r="47">
      <x:c r="A47" s="27" t="str">
        <x:v>2024-06</x:v>
      </x:c>
      <x:c r="B47" s="27" t="n">
        <x:v>2024</x:v>
      </x:c>
      <x:c r="C47" s="27" t="n">
        <x:v>6</x:v>
      </x:c>
      <x:c r="D47" s="42" t="n">
        <x:v>152214</x:v>
      </x:c>
      <x:c r="E47" s="27" t="n">
        <x:v>3</x:v>
      </x:c>
      <x:c r="F47" s="27" t="str">
        <x:v>是</x:v>
      </x:c>
      <x:c r="G47" s="27" t="str">
        <x:v>是</x:v>
      </x:c>
      <x:c r="H47" s="27" t="str">
        <x:v>有效</x:v>
      </x:c>
    </x:row>
    <x:row r="48">
      <x:c r="A48" s="27" t="str">
        <x:v>2024-07</x:v>
      </x:c>
      <x:c r="B48" s="27" t="n">
        <x:v>2024</x:v>
      </x:c>
      <x:c r="C48" s="27" t="n">
        <x:v>7</x:v>
      </x:c>
      <x:c r="D48" s="42" t="n">
        <x:v>64226</x:v>
      </x:c>
      <x:c r="E48" s="27" t="n">
        <x:v>3</x:v>
      </x:c>
      <x:c r="F48" s="27" t="str">
        <x:v>是</x:v>
      </x:c>
      <x:c r="G48" s="27" t="str">
        <x:v>是</x:v>
      </x:c>
      <x:c r="H48" s="27" t="str">
        <x:v>有效</x:v>
      </x:c>
    </x:row>
    <x:row r="49">
      <x:c r="A49" s="27" t="str">
        <x:v>2024-08</x:v>
      </x:c>
      <x:c r="B49" s="27" t="n">
        <x:v>2024</x:v>
      </x:c>
      <x:c r="C49" s="27" t="n">
        <x:v>8</x:v>
      </x:c>
      <x:c r="D49" s="42" t="n">
        <x:v>61178</x:v>
      </x:c>
      <x:c r="E49" s="27" t="n">
        <x:v>3</x:v>
      </x:c>
      <x:c r="F49" s="27" t="str">
        <x:v>是</x:v>
      </x:c>
      <x:c r="G49" s="27" t="str">
        <x:v>是</x:v>
      </x:c>
      <x:c r="H49" s="27" t="str">
        <x:v>有效</x:v>
      </x:c>
    </x:row>
    <x:row r="50">
      <x:c r="A50" s="27" t="str">
        <x:v>2024-09</x:v>
      </x:c>
      <x:c r="B50" s="27" t="n">
        <x:v>2024</x:v>
      </x:c>
      <x:c r="C50" s="27" t="n">
        <x:v>9</x:v>
      </x:c>
      <x:c r="D50" s="42" t="n">
        <x:v>188662</x:v>
      </x:c>
      <x:c r="E50" s="27" t="n">
        <x:v>3</x:v>
      </x:c>
      <x:c r="F50" s="27" t="str">
        <x:v>是</x:v>
      </x:c>
      <x:c r="G50" s="27" t="str">
        <x:v>是</x:v>
      </x:c>
      <x:c r="H50" s="27" t="str">
        <x:v>有效</x:v>
      </x:c>
    </x:row>
    <x:row r="51">
      <x:c r="A51" s="27" t="str">
        <x:v>2024-10</x:v>
      </x:c>
      <x:c r="B51" s="27" t="n">
        <x:v>2024</x:v>
      </x:c>
      <x:c r="C51" s="27" t="n">
        <x:v>10</x:v>
      </x:c>
      <x:c r="D51" s="42" t="n">
        <x:v>198184</x:v>
      </x:c>
      <x:c r="E51" s="27" t="n">
        <x:v>3</x:v>
      </x:c>
      <x:c r="F51" s="27" t="str">
        <x:v>是</x:v>
      </x:c>
      <x:c r="G51" s="27" t="str">
        <x:v>是</x:v>
      </x:c>
      <x:c r="H51" s="27" t="str">
        <x:v>有效</x:v>
      </x:c>
    </x:row>
    <x:row r="52">
      <x:c r="A52" s="27" t="str">
        <x:v>2024-11</x:v>
      </x:c>
      <x:c r="B52" s="27" t="n">
        <x:v>2024</x:v>
      </x:c>
      <x:c r="C52" s="27" t="n">
        <x:v>11</x:v>
      </x:c>
      <x:c r="D52" s="42" t="n">
        <x:v>192439</x:v>
      </x:c>
      <x:c r="E52" s="27" t="n">
        <x:v>3</x:v>
      </x:c>
      <x:c r="F52" s="27" t="str">
        <x:v>是</x:v>
      </x:c>
      <x:c r="G52" s="27" t="str">
        <x:v>是</x:v>
      </x:c>
      <x:c r="H52" s="27" t="str">
        <x:v>有效</x:v>
      </x:c>
    </x:row>
    <x:row r="53">
      <x:c r="A53" s="27" t="str">
        <x:v>2024-12</x:v>
      </x:c>
      <x:c r="B53" s="27" t="n">
        <x:v>2024</x:v>
      </x:c>
      <x:c r="C53" s="27" t="n">
        <x:v>12</x:v>
      </x:c>
      <x:c r="D53" s="42" t="n">
        <x:v>202449</x:v>
      </x:c>
      <x:c r="E53" s="27" t="n">
        <x:v>3</x:v>
      </x:c>
      <x:c r="F53" s="27" t="str">
        <x:v>是</x:v>
      </x:c>
      <x:c r="G53" s="27" t="str">
        <x:v>是</x:v>
      </x:c>
      <x:c r="H53" s="27" t="str">
        <x:v>有效</x:v>
      </x:c>
    </x:row>
    <x:row r="54">
      <x:c r="A54" s="27" t="str">
        <x:v>2025-01</x:v>
      </x:c>
      <x:c r="B54" s="27" t="n">
        <x:v>2025</x:v>
      </x:c>
      <x:c r="C54" s="27" t="n">
        <x:v>1</x:v>
      </x:c>
      <x:c r="D54" s="42" t="n">
        <x:v>81892</x:v>
      </x:c>
      <x:c r="E54" s="27" t="n">
        <x:v>3</x:v>
      </x:c>
      <x:c r="F54" s="27" t="str">
        <x:v>是</x:v>
      </x:c>
      <x:c r="G54" s="27" t="str">
        <x:v>是</x:v>
      </x:c>
      <x:c r="H54" s="27" t="str">
        <x:v>有效</x:v>
      </x:c>
    </x:row>
    <x:row r="55">
      <x:c r="A55" s="27" t="str">
        <x:v>2025-02</x:v>
      </x:c>
      <x:c r="B55" s="27" t="n">
        <x:v>2025</x:v>
      </x:c>
      <x:c r="C55" s="27" t="n">
        <x:v>2</x:v>
      </x:c>
      <x:c r="D55" s="42" t="n">
        <x:v>83245</x:v>
      </x:c>
      <x:c r="E55" s="27" t="n">
        <x:v>3</x:v>
      </x:c>
      <x:c r="F55" s="27" t="str">
        <x:v>是</x:v>
      </x:c>
      <x:c r="G55" s="27" t="str">
        <x:v>是</x:v>
      </x:c>
      <x:c r="H55" s="27" t="str">
        <x:v>有效</x:v>
      </x:c>
    </x:row>
    <x:row r="56">
      <x:c r="A56" s="27" t="str">
        <x:v>2025-03</x:v>
      </x:c>
      <x:c r="B56" s="27" t="n">
        <x:v>2025</x:v>
      </x:c>
      <x:c r="C56" s="27" t="n">
        <x:v>3</x:v>
      </x:c>
      <x:c r="D56" s="42" t="n">
        <x:v>176188</x:v>
      </x:c>
      <x:c r="E56" s="27" t="n">
        <x:v>3</x:v>
      </x:c>
      <x:c r="F56" s="27" t="str">
        <x:v>是</x:v>
      </x:c>
      <x:c r="G56" s="27" t="str">
        <x:v>是</x:v>
      </x:c>
      <x:c r="H56" s="27" t="str">
        <x:v>有效</x:v>
      </x:c>
    </x:row>
    <x:row r="57">
      <x:c r="A57" s="27" t="str">
        <x:v>2025-04</x:v>
      </x:c>
      <x:c r="B57" s="27" t="n">
        <x:v>2025</x:v>
      </x:c>
      <x:c r="C57" s="27" t="n">
        <x:v>4</x:v>
      </x:c>
      <x:c r="D57" s="42" t="n">
        <x:v>173003</x:v>
      </x:c>
      <x:c r="E57" s="27" t="n">
        <x:v>3</x:v>
      </x:c>
      <x:c r="F57" s="27" t="str">
        <x:v>是</x:v>
      </x:c>
      <x:c r="G57" s="27" t="str">
        <x:v>是</x:v>
      </x:c>
      <x:c r="H57" s="27" t="str">
        <x:v>有效</x:v>
      </x:c>
    </x:row>
    <x:row r="58">
      <x:c r="A58" s="27" t="str">
        <x:v>2025-05</x:v>
      </x:c>
      <x:c r="B58" s="27" t="n">
        <x:v>2025</x:v>
      </x:c>
      <x:c r="C58" s="27" t="n">
        <x:v>5</x:v>
      </x:c>
      <x:c r="D58" s="42" t="n">
        <x:v>155462</x:v>
      </x:c>
      <x:c r="E58" s="27" t="n">
        <x:v>3</x:v>
      </x:c>
      <x:c r="F58" s="27" t="str">
        <x:v>是</x:v>
      </x:c>
      <x:c r="G58" s="27" t="str">
        <x:v>是</x:v>
      </x:c>
      <x:c r="H58" s="27" t="str">
        <x:v>有效</x:v>
      </x:c>
    </x:row>
    <x:row r="59">
      <x:c r="A59" s="27" t="str">
        <x:v>2025-06</x:v>
      </x:c>
      <x:c r="B59" s="27" t="n">
        <x:v>2025</x:v>
      </x:c>
      <x:c r="C59" s="27" t="n">
        <x:v>6</x:v>
      </x:c>
      <x:c r="D59" s="42" t="n">
        <x:v>72870</x:v>
      </x:c>
      <x:c r="E59" s="27" t="n">
        <x:v>3</x:v>
      </x:c>
      <x:c r="F59" s="27" t="str">
        <x:v>是</x:v>
      </x:c>
      <x:c r="G59" s="27" t="str">
        <x:v>否</x:v>
      </x:c>
      <x:c r="H59" s="27" t="str">
        <x:v>統計低離群（保留原值）</x:v>
      </x:c>
    </x:row>
    <x:row r="60">
      <x:c r="A60" s="27" t="str">
        <x:v>2025-07</x:v>
      </x:c>
      <x:c r="B60" s="27" t="n">
        <x:v>2025</x:v>
      </x:c>
      <x:c r="C60" s="27" t="n">
        <x:v>7</x:v>
      </x:c>
      <x:c r="D60" s="42" t="n">
        <x:v>23747</x:v>
      </x:c>
      <x:c r="E60" s="27" t="n">
        <x:v>3</x:v>
      </x:c>
      <x:c r="F60" s="27" t="str">
        <x:v>是</x:v>
      </x:c>
      <x:c r="G60" s="27" t="str">
        <x:v>否</x:v>
      </x:c>
      <x:c r="H60" s="27" t="str">
        <x:v>統計低離群（保留原值）</x:v>
      </x:c>
    </x:row>
    <x:row r="61">
      <x:c r="A61" s="27" t="str">
        <x:v>2025-08</x:v>
      </x:c>
      <x:c r="B61" s="27" t="n">
        <x:v>2025</x:v>
      </x:c>
      <x:c r="C61" s="27" t="n">
        <x:v>8</x:v>
      </x:c>
      <x:c r="D61" s="42" t="n">
        <x:v>24804</x:v>
      </x:c>
      <x:c r="E61" s="27" t="n">
        <x:v>3</x:v>
      </x:c>
      <x:c r="F61" s="27" t="str">
        <x:v>是</x:v>
      </x:c>
      <x:c r="G61" s="27" t="str">
        <x:v>否</x:v>
      </x:c>
      <x:c r="H61" s="27" t="str">
        <x:v>統計低離群（保留原值）</x:v>
      </x:c>
    </x:row>
    <x:row r="62">
      <x:c r="A62" s="27" t="str">
        <x:v>2025-09</x:v>
      </x:c>
      <x:c r="B62" s="27" t="n">
        <x:v>2025</x:v>
      </x:c>
      <x:c r="C62" s="27" t="n">
        <x:v>9</x:v>
      </x:c>
      <x:c r="D62" s="42"/>
      <x:c r="E62" s="27" t="n">
        <x:v>2</x:v>
      </x:c>
      <x:c r="F62" s="27" t="str">
        <x:v>否</x:v>
      </x:c>
      <x:c r="G62" s="27" t="str">
        <x:v>否</x:v>
      </x:c>
      <x:c r="H62" s="27" t="str">
        <x:v>來源明示電表異常</x:v>
      </x:c>
    </x:row>
    <x:row r="63">
      <x:c r="A63" s="27" t="str">
        <x:v>2025-10</x:v>
      </x:c>
      <x:c r="B63" s="27" t="n">
        <x:v>2025</x:v>
      </x:c>
      <x:c r="C63" s="27" t="n">
        <x:v>10</x:v>
      </x:c>
      <x:c r="D63" s="42" t="n">
        <x:v>154238</x:v>
      </x:c>
      <x:c r="E63" s="27" t="n">
        <x:v>3</x:v>
      </x:c>
      <x:c r="F63" s="27" t="str">
        <x:v>是</x:v>
      </x:c>
      <x:c r="G63" s="27" t="str">
        <x:v>是</x:v>
      </x:c>
      <x:c r="H63" s="27" t="str">
        <x:v>有效</x:v>
      </x:c>
    </x:row>
    <x:row r="64">
      <x:c r="A64" s="27" t="str">
        <x:v>2025-11</x:v>
      </x:c>
      <x:c r="B64" s="27" t="n">
        <x:v>2025</x:v>
      </x:c>
      <x:c r="C64" s="27" t="n">
        <x:v>11</x:v>
      </x:c>
      <x:c r="D64" s="42" t="n">
        <x:v>166729</x:v>
      </x:c>
      <x:c r="E64" s="27" t="n">
        <x:v>3</x:v>
      </x:c>
      <x:c r="F64" s="27" t="str">
        <x:v>是</x:v>
      </x:c>
      <x:c r="G64" s="27" t="str">
        <x:v>是</x:v>
      </x:c>
      <x:c r="H64" s="27" t="str">
        <x:v>有效</x:v>
      </x:c>
    </x:row>
    <x:row r="65">
      <x:c r="A65" s="27" t="str">
        <x:v>2025-12</x:v>
      </x:c>
      <x:c r="B65" s="27" t="n">
        <x:v>2025</x:v>
      </x:c>
      <x:c r="C65" s="27" t="n">
        <x:v>12</x:v>
      </x:c>
      <x:c r="D65" s="42" t="n">
        <x:v>177761</x:v>
      </x:c>
      <x:c r="E65" s="27" t="n">
        <x:v>3</x:v>
      </x:c>
      <x:c r="F65" s="27" t="str">
        <x:v>是</x:v>
      </x:c>
      <x:c r="G65" s="27" t="str">
        <x:v>是</x:v>
      </x:c>
      <x:c r="H65" s="27" t="str">
        <x:v>有效</x:v>
      </x:c>
    </x:row>
    <x:row r="66">
      <x:c r="A66" s="27" t="str">
        <x:v>2026-01</x:v>
      </x:c>
      <x:c r="B66" s="27" t="n">
        <x:v>2026</x:v>
      </x:c>
      <x:c r="C66" s="27" t="n">
        <x:v>1</x:v>
      </x:c>
      <x:c r="D66" s="42" t="n">
        <x:v>94718</x:v>
      </x:c>
      <x:c r="E66" s="27" t="n">
        <x:v>3</x:v>
      </x:c>
      <x:c r="F66" s="27" t="str">
        <x:v>是</x:v>
      </x:c>
      <x:c r="G66" s="27" t="str">
        <x:v>是</x:v>
      </x:c>
      <x:c r="H66" s="27" t="str">
        <x:v>有效</x:v>
      </x:c>
    </x:row>
    <x:row r="67">
      <x:c r="A67" s="27" t="str">
        <x:v>2026-02</x:v>
      </x:c>
      <x:c r="B67" s="27" t="n">
        <x:v>2026</x:v>
      </x:c>
      <x:c r="C67" s="27" t="n">
        <x:v>2</x:v>
      </x:c>
      <x:c r="D67" s="42" t="n">
        <x:v>40735</x:v>
      </x:c>
      <x:c r="E67" s="27" t="n">
        <x:v>3</x:v>
      </x:c>
      <x:c r="F67" s="27" t="str">
        <x:v>是</x:v>
      </x:c>
      <x:c r="G67" s="27" t="str">
        <x:v>是</x:v>
      </x:c>
      <x:c r="H67" s="27" t="str">
        <x:v>有效</x:v>
      </x:c>
    </x:row>
    <x:row r="68">
      <x:c r="A68" s="27" t="str">
        <x:v>2026-03</x:v>
      </x:c>
      <x:c r="B68" s="27" t="n">
        <x:v>2026</x:v>
      </x:c>
      <x:c r="C68" s="27" t="n">
        <x:v>3</x:v>
      </x:c>
      <x:c r="D68" s="42" t="n">
        <x:v>141303</x:v>
      </x:c>
      <x:c r="E68" s="27" t="n">
        <x:v>3</x:v>
      </x:c>
      <x:c r="F68" s="27" t="str">
        <x:v>是</x:v>
      </x:c>
      <x:c r="G68" s="27" t="str">
        <x:v>是</x:v>
      </x:c>
      <x:c r="H68" s="27" t="str">
        <x:v>有效</x:v>
      </x:c>
    </x:row>
    <x:row r="69">
      <x:c r="A69" s="27" t="str">
        <x:v>2026-04</x:v>
      </x:c>
      <x:c r="B69" s="27" t="n">
        <x:v>2026</x:v>
      </x:c>
      <x:c r="C69" s="27" t="n">
        <x:v>4</x:v>
      </x:c>
      <x:c r="D69" s="42" t="n">
        <x:v>141669</x:v>
      </x:c>
      <x:c r="E69" s="27" t="n">
        <x:v>3</x:v>
      </x:c>
      <x:c r="F69" s="27" t="str">
        <x:v>是</x:v>
      </x:c>
      <x:c r="G69" s="27" t="str">
        <x:v>是</x:v>
      </x:c>
      <x:c r="H69" s="27" t="str">
        <x:v>有效</x:v>
      </x:c>
    </x:row>
    <x:row r="70">
      <x:c r="A70" s="27" t="str">
        <x:v>2026-05</x:v>
      </x:c>
      <x:c r="B70" s="27" t="n">
        <x:v>2026</x:v>
      </x:c>
      <x:c r="C70" s="27" t="n">
        <x:v>5</x:v>
      </x:c>
      <x:c r="D70" s="42" t="n">
        <x:v>173649</x:v>
      </x:c>
      <x:c r="E70" s="27" t="n">
        <x:v>3</x:v>
      </x:c>
      <x:c r="F70" s="27" t="str">
        <x:v>是</x:v>
      </x:c>
      <x:c r="G70" s="27" t="str">
        <x:v>是</x:v>
      </x:c>
      <x:c r="H70" s="27" t="str">
        <x:v>有效</x:v>
      </x:c>
    </x:row>
    <x:row r="71">
      <x:c r="A71" s="27" t="str">
        <x:v>2026-06</x:v>
      </x:c>
      <x:c r="B71" s="27" t="n">
        <x:v>2026</x:v>
      </x:c>
      <x:c r="C71" s="27" t="n">
        <x:v>6</x:v>
      </x:c>
      <x:c r="D71" s="42" t="n">
        <x:v>146696</x:v>
      </x:c>
      <x:c r="E71" s="27" t="n">
        <x:v>3</x:v>
      </x:c>
      <x:c r="F71" s="27" t="str">
        <x:v>是</x:v>
      </x:c>
      <x:c r="G71" s="27" t="str">
        <x:v>是</x:v>
      </x:c>
      <x:c r="H71" s="27" t="str">
        <x:v>有效</x:v>
      </x:c>
    </x:row>
    <x:row r="72">
      <x:c r="A72" s="27" t="str">
        <x:v>2026-07</x:v>
      </x:c>
      <x:c r="B72" s="27" t="n">
        <x:v>2026</x:v>
      </x:c>
      <x:c r="C72" s="27" t="n">
        <x:v>7</x:v>
      </x:c>
      <x:c r="D72" s="42"/>
      <x:c r="E72" s="27" t="n">
        <x:v>0</x:v>
      </x:c>
      <x:c r="F72" s="27" t="str">
        <x:v>否</x:v>
      </x:c>
      <x:c r="G72" s="27" t="str">
        <x:v>否</x:v>
      </x:c>
      <x:c r="H72" s="27" t="str">
        <x:v>缺值</x:v>
      </x:c>
    </x:row>
    <x:row r="73">
      <x:c r="A73" s="27" t="str">
        <x:v>2026-08</x:v>
      </x:c>
      <x:c r="B73" s="27" t="n">
        <x:v>2026</x:v>
      </x:c>
      <x:c r="C73" s="27" t="n">
        <x:v>8</x:v>
      </x:c>
      <x:c r="D73" s="42"/>
      <x:c r="E73" s="27" t="n">
        <x:v>0</x:v>
      </x:c>
      <x:c r="F73" s="27" t="str">
        <x:v>否</x:v>
      </x:c>
      <x:c r="G73" s="27" t="str">
        <x:v>否</x:v>
      </x:c>
      <x:c r="H73" s="27" t="str">
        <x:v>缺值</x:v>
      </x:c>
    </x:row>
    <x:row r="74">
      <x:c r="A74" s="27" t="str">
        <x:v>2026-09</x:v>
      </x:c>
      <x:c r="B74" s="27" t="n">
        <x:v>2026</x:v>
      </x:c>
      <x:c r="C74" s="27" t="n">
        <x:v>9</x:v>
      </x:c>
      <x:c r="D74" s="42"/>
      <x:c r="E74" s="27" t="n">
        <x:v>0</x:v>
      </x:c>
      <x:c r="F74" s="27" t="str">
        <x:v>否</x:v>
      </x:c>
      <x:c r="G74" s="27" t="str">
        <x:v>否</x:v>
      </x:c>
      <x:c r="H74" s="27" t="str">
        <x:v>缺值</x:v>
      </x:c>
    </x:row>
    <x:row r="75">
      <x:c r="A75" s="27" t="str">
        <x:v>2026-10</x:v>
      </x:c>
      <x:c r="B75" s="27" t="n">
        <x:v>2026</x:v>
      </x:c>
      <x:c r="C75" s="27" t="n">
        <x:v>10</x:v>
      </x:c>
      <x:c r="D75" s="42"/>
      <x:c r="E75" s="27" t="n">
        <x:v>0</x:v>
      </x:c>
      <x:c r="F75" s="27" t="str">
        <x:v>否</x:v>
      </x:c>
      <x:c r="G75" s="27" t="str">
        <x:v>否</x:v>
      </x:c>
      <x:c r="H75" s="27" t="str">
        <x:v>缺值</x:v>
      </x:c>
    </x:row>
    <x:row r="76">
      <x:c r="A76" s="27" t="str">
        <x:v>2026-11</x:v>
      </x:c>
      <x:c r="B76" s="27" t="n">
        <x:v>2026</x:v>
      </x:c>
      <x:c r="C76" s="27" t="n">
        <x:v>11</x:v>
      </x:c>
      <x:c r="D76" s="42"/>
      <x:c r="E76" s="27" t="n">
        <x:v>0</x:v>
      </x:c>
      <x:c r="F76" s="27" t="str">
        <x:v>否</x:v>
      </x:c>
      <x:c r="G76" s="27" t="str">
        <x:v>否</x:v>
      </x:c>
      <x:c r="H76" s="27" t="str">
        <x:v>缺值</x:v>
      </x:c>
    </x:row>
    <x:row r="77">
      <x:c r="A77" s="28" t="str">
        <x:v>2026-12</x:v>
      </x:c>
      <x:c r="B77" s="28" t="n">
        <x:v>2026</x:v>
      </x:c>
      <x:c r="C77" s="28" t="n">
        <x:v>12</x:v>
      </x:c>
      <x:c r="D77" s="43"/>
      <x:c r="E77" s="28" t="n">
        <x:v>0</x:v>
      </x:c>
      <x:c r="F77" s="28" t="str">
        <x:v>否</x:v>
      </x:c>
      <x:c r="G77" s="28" t="str">
        <x:v>否</x:v>
      </x:c>
      <x:c r="H77" s="28" t="str">
        <x:v>缺值</x:v>
      </x:c>
    </x:row>
  </x:sheetData>
  <x:mergeCells>
    <x:mergeCell ref="A1:H1"/>
    <x:mergeCell ref="A2:H2"/>
  </x:mergeCells>
  <x:conditionalFormatting sqref="H6:H77">
    <x:cfRule type="containsText" dxfId="0" priority="1" operator="containsText" text="異常"/>
    <x:cfRule type="containsText" dxfId="1" priority="2" operator="containsText" text="離群"/>
  </x:conditionalFormatting>
  <x:pageMargins left="0.7" right="0.7" top="0.75" bottom="0.75" header="0.3" footer="0.3"/>
  <x:tableParts count="1">
    <x:tablePart xmlns:r="http://schemas.openxmlformats.org/officeDocument/2006/relationships" r:id="Rd3bb698fcf8742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13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48" hidden="0" customWidth="1"/>
  </x:cols>
  <x:sheetData>
    <x:row r="1" ht="32" customHeight="1">
      <x:c r="A1" s="3" t="str">
        <x:v>正式用電模型資料（48 個月）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只保留三館合計、人數、開館與淡水站月均溫皆可配對且通過嚴格品質檢查的月份；住宿天數依開館日起至學期邊界估算。 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60"/>
      <x:c r="B4" s="60"/>
      <x:c r="C4" s="60"/>
      <x:c r="D4" s="60"/>
      <x:c r="E4" s="60"/>
      <x:c r="F4" s="60"/>
      <x:c r="G4" s="60"/>
      <x:c r="H4" s="60"/>
      <x:c r="I4" s="60"/>
      <x:c r="J4" s="60"/>
    </x:row>
    <x:row r="5" ht="34" customHeight="1">
      <x:c r="A5" s="19" t="str">
        <x:v>月份</x:v>
      </x:c>
      <x:c r="B5" s="20" t="str">
        <x:v>學期</x:v>
      </x:c>
      <x:c r="C5" s="20" t="str">
        <x:v>三館合計_kWh</x:v>
      </x:c>
      <x:c r="D5" s="20" t="str">
        <x:v>住宿人數</x:v>
      </x:c>
      <x:c r="E5" s="20" t="str">
        <x:v>估算開館天數</x:v>
      </x:c>
      <x:c r="F5" s="20" t="str">
        <x:v>估算住宿人日</x:v>
      </x:c>
      <x:c r="G5" s="20" t="str">
        <x:v>淡水月均溫_C</x:v>
      </x:c>
      <x:c r="H5" s="20" t="str">
        <x:v>26°C冷房度日</x:v>
      </x:c>
      <x:c r="I5" s="20" t="str">
        <x:v>用電品質</x:v>
      </x:c>
      <x:c r="J5" s="21" t="str">
        <x:v>氣溫來源</x:v>
      </x:c>
    </x:row>
    <x:row r="6">
      <x:c r="A6" s="26" t="str">
        <x:v>2021-09</x:v>
      </x:c>
      <x:c r="B6" s="26" t="str">
        <x:v>110-1</x:v>
      </x:c>
      <x:c r="C6" s="41" t="n">
        <x:v>100931</x:v>
      </x:c>
      <x:c r="D6" s="41" t="n">
        <x:v>2087</x:v>
      </x:c>
      <x:c r="E6" s="41" t="n">
        <x:v>21</x:v>
      </x:c>
      <x:c r="F6" s="41" t="n">
        <x:v>43827</x:v>
      </x:c>
      <x:c r="G6" s="44" t="n">
        <x:v>28.8</x:v>
      </x:c>
      <x:c r="H6" s="44" t="n">
        <x:v>58.80000000000001</x:v>
      </x:c>
      <x:c r="I6" s="26" t="str">
        <x:v>有效</x:v>
      </x:c>
      <x:c r="J6" s="26" t="str">
        <x:v>中央氣象署 CODiS 淡水站 466900 月平均觀測</x:v>
      </x:c>
    </x:row>
    <x:row r="7">
      <x:c r="A7" s="27" t="str">
        <x:v>2021-10</x:v>
      </x:c>
      <x:c r="B7" s="27" t="str">
        <x:v>110-1</x:v>
      </x:c>
      <x:c r="C7" s="42" t="n">
        <x:v>142263.41</x:v>
      </x:c>
      <x:c r="D7" s="42" t="n">
        <x:v>2087</x:v>
      </x:c>
      <x:c r="E7" s="42" t="n">
        <x:v>31</x:v>
      </x:c>
      <x:c r="F7" s="42" t="n">
        <x:v>64697</x:v>
      </x:c>
      <x:c r="G7" s="45" t="n">
        <x:v>25.2</x:v>
      </x:c>
      <x:c r="H7" s="45" t="n">
        <x:v>0</x:v>
      </x:c>
      <x:c r="I7" s="27" t="str">
        <x:v>有效</x:v>
      </x:c>
      <x:c r="J7" s="27" t="str">
        <x:v>中央氣象署 CODiS 淡水站 466900 月平均觀測</x:v>
      </x:c>
    </x:row>
    <x:row r="8">
      <x:c r="A8" s="27" t="str">
        <x:v>2021-11</x:v>
      </x:c>
      <x:c r="B8" s="27" t="str">
        <x:v>110-1</x:v>
      </x:c>
      <x:c r="C8" s="42" t="n">
        <x:v>150208.14</x:v>
      </x:c>
      <x:c r="D8" s="42" t="n">
        <x:v>2087</x:v>
      </x:c>
      <x:c r="E8" s="42" t="n">
        <x:v>30</x:v>
      </x:c>
      <x:c r="F8" s="42" t="n">
        <x:v>62610</x:v>
      </x:c>
      <x:c r="G8" s="45" t="n">
        <x:v>20.5</x:v>
      </x:c>
      <x:c r="H8" s="45" t="n">
        <x:v>0</x:v>
      </x:c>
      <x:c r="I8" s="27" t="str">
        <x:v>有效</x:v>
      </x:c>
      <x:c r="J8" s="27" t="str">
        <x:v>中央氣象署 CODiS 淡水站 466900 月平均觀測</x:v>
      </x:c>
    </x:row>
    <x:row r="9">
      <x:c r="A9" s="27" t="str">
        <x:v>2021-12</x:v>
      </x:c>
      <x:c r="B9" s="27" t="str">
        <x:v>110-1</x:v>
      </x:c>
      <x:c r="C9" s="42" t="n">
        <x:v>161225.95</x:v>
      </x:c>
      <x:c r="D9" s="42" t="n">
        <x:v>2087</x:v>
      </x:c>
      <x:c r="E9" s="42" t="n">
        <x:v>31</x:v>
      </x:c>
      <x:c r="F9" s="42" t="n">
        <x:v>64697</x:v>
      </x:c>
      <x:c r="G9" s="45" t="n">
        <x:v>17.3</x:v>
      </x:c>
      <x:c r="H9" s="45" t="n">
        <x:v>0</x:v>
      </x:c>
      <x:c r="I9" s="27" t="str">
        <x:v>有效</x:v>
      </x:c>
      <x:c r="J9" s="27" t="str">
        <x:v>中央氣象署 CODiS 淡水站 466900 月平均觀測</x:v>
      </x:c>
    </x:row>
    <x:row r="10">
      <x:c r="A10" s="27" t="str">
        <x:v>2022-01</x:v>
      </x:c>
      <x:c r="B10" s="27" t="str">
        <x:v>110-1</x:v>
      </x:c>
      <x:c r="C10" s="42" t="n">
        <x:v>111889.6</x:v>
      </x:c>
      <x:c r="D10" s="42" t="n">
        <x:v>2087</x:v>
      </x:c>
      <x:c r="E10" s="42" t="n">
        <x:v>31</x:v>
      </x:c>
      <x:c r="F10" s="42" t="n">
        <x:v>64697</x:v>
      </x:c>
      <x:c r="G10" s="45" t="n">
        <x:v>16.5</x:v>
      </x:c>
      <x:c r="H10" s="45" t="n">
        <x:v>0</x:v>
      </x:c>
      <x:c r="I10" s="27" t="str">
        <x:v>有效</x:v>
      </x:c>
      <x:c r="J10" s="27" t="str">
        <x:v>中央氣象署 CODiS 淡水站 466900 月平均觀測</x:v>
      </x:c>
    </x:row>
    <x:row r="11">
      <x:c r="A11" s="27" t="str">
        <x:v>2022-02</x:v>
      </x:c>
      <x:c r="B11" s="27" t="str">
        <x:v>110-2</x:v>
      </x:c>
      <x:c r="C11" s="42" t="n">
        <x:v>55517.62</x:v>
      </x:c>
      <x:c r="D11" s="42" t="n">
        <x:v>2087</x:v>
      </x:c>
      <x:c r="E11" s="42" t="n">
        <x:v>10</x:v>
      </x:c>
      <x:c r="F11" s="42" t="n">
        <x:v>20870</x:v>
      </x:c>
      <x:c r="G11" s="45" t="n">
        <x:v>15.6</x:v>
      </x:c>
      <x:c r="H11" s="45" t="n">
        <x:v>0</x:v>
      </x:c>
      <x:c r="I11" s="27" t="str">
        <x:v>有效</x:v>
      </x:c>
      <x:c r="J11" s="27" t="str">
        <x:v>中央氣象署 CODiS 淡水站 466900 月平均觀測</x:v>
      </x:c>
    </x:row>
    <x:row r="12">
      <x:c r="A12" s="27" t="str">
        <x:v>2022-03</x:v>
      </x:c>
      <x:c r="B12" s="27" t="str">
        <x:v>110-2</x:v>
      </x:c>
      <x:c r="C12" s="42" t="n">
        <x:v>170691</x:v>
      </x:c>
      <x:c r="D12" s="42" t="n">
        <x:v>2087</x:v>
      </x:c>
      <x:c r="E12" s="42" t="n">
        <x:v>31</x:v>
      </x:c>
      <x:c r="F12" s="42" t="n">
        <x:v>64697</x:v>
      </x:c>
      <x:c r="G12" s="45" t="n">
        <x:v>19.9</x:v>
      </x:c>
      <x:c r="H12" s="45" t="n">
        <x:v>0</x:v>
      </x:c>
      <x:c r="I12" s="27" t="str">
        <x:v>有效</x:v>
      </x:c>
      <x:c r="J12" s="27" t="str">
        <x:v>中央氣象署 CODiS 淡水站 466900 月平均觀測</x:v>
      </x:c>
    </x:row>
    <x:row r="13">
      <x:c r="A13" s="27" t="str">
        <x:v>2022-04</x:v>
      </x:c>
      <x:c r="B13" s="27" t="str">
        <x:v>110-2</x:v>
      </x:c>
      <x:c r="C13" s="42" t="n">
        <x:v>148050</x:v>
      </x:c>
      <x:c r="D13" s="42" t="n">
        <x:v>2087</x:v>
      </x:c>
      <x:c r="E13" s="42" t="n">
        <x:v>30</x:v>
      </x:c>
      <x:c r="F13" s="42" t="n">
        <x:v>62610</x:v>
      </x:c>
      <x:c r="G13" s="45" t="n">
        <x:v>21.4</x:v>
      </x:c>
      <x:c r="H13" s="45" t="n">
        <x:v>0</x:v>
      </x:c>
      <x:c r="I13" s="27" t="str">
        <x:v>有效</x:v>
      </x:c>
      <x:c r="J13" s="27" t="str">
        <x:v>中央氣象署 CODiS 淡水站 466900 月平均觀測</x:v>
      </x:c>
    </x:row>
    <x:row r="14">
      <x:c r="A14" s="27" t="str">
        <x:v>2022-05</x:v>
      </x:c>
      <x:c r="B14" s="27" t="str">
        <x:v>110-2</x:v>
      </x:c>
      <x:c r="C14" s="42" t="n">
        <x:v>132817</x:v>
      </x:c>
      <x:c r="D14" s="42" t="n">
        <x:v>2087</x:v>
      </x:c>
      <x:c r="E14" s="42" t="n">
        <x:v>31</x:v>
      </x:c>
      <x:c r="F14" s="42" t="n">
        <x:v>64697</x:v>
      </x:c>
      <x:c r="G14" s="45" t="n">
        <x:v>22.6</x:v>
      </x:c>
      <x:c r="H14" s="45" t="n">
        <x:v>0</x:v>
      </x:c>
      <x:c r="I14" s="27" t="str">
        <x:v>有效</x:v>
      </x:c>
      <x:c r="J14" s="27" t="str">
        <x:v>中央氣象署 CODiS 淡水站 466900 月平均觀測</x:v>
      </x:c>
    </x:row>
    <x:row r="15">
      <x:c r="A15" s="27" t="str">
        <x:v>2022-06</x:v>
      </x:c>
      <x:c r="B15" s="27" t="str">
        <x:v>110-2</x:v>
      </x:c>
      <x:c r="C15" s="42" t="n">
        <x:v>112009</x:v>
      </x:c>
      <x:c r="D15" s="42" t="n">
        <x:v>2087</x:v>
      </x:c>
      <x:c r="E15" s="42" t="n">
        <x:v>30</x:v>
      </x:c>
      <x:c r="F15" s="42" t="n">
        <x:v>62610</x:v>
      </x:c>
      <x:c r="G15" s="45" t="n">
        <x:v>27.3</x:v>
      </x:c>
      <x:c r="H15" s="45" t="n">
        <x:v>39.00000000000002</x:v>
      </x:c>
      <x:c r="I15" s="27" t="str">
        <x:v>有效</x:v>
      </x:c>
      <x:c r="J15" s="27" t="str">
        <x:v>中央氣象署 CODiS 淡水站 466900 月平均觀測</x:v>
      </x:c>
    </x:row>
    <x:row r="16">
      <x:c r="A16" s="27" t="str">
        <x:v>2022-09</x:v>
      </x:c>
      <x:c r="B16" s="27" t="str">
        <x:v>111-1</x:v>
      </x:c>
      <x:c r="C16" s="42" t="n">
        <x:v>82915.9</x:v>
      </x:c>
      <x:c r="D16" s="42" t="n">
        <x:v>1885</x:v>
      </x:c>
      <x:c r="E16" s="42" t="n">
        <x:v>30</x:v>
      </x:c>
      <x:c r="F16" s="42" t="n">
        <x:v>56550</x:v>
      </x:c>
      <x:c r="G16" s="45" t="n">
        <x:v>26.5</x:v>
      </x:c>
      <x:c r="H16" s="45" t="n">
        <x:v>15</x:v>
      </x:c>
      <x:c r="I16" s="27" t="str">
        <x:v>有效</x:v>
      </x:c>
      <x:c r="J16" s="27" t="str">
        <x:v>中央氣象署 CODiS 淡水站 466900 月平均觀測</x:v>
      </x:c>
    </x:row>
    <x:row r="17">
      <x:c r="A17" s="27" t="str">
        <x:v>2022-10</x:v>
      </x:c>
      <x:c r="B17" s="27" t="str">
        <x:v>111-1</x:v>
      </x:c>
      <x:c r="C17" s="42" t="n">
        <x:v>144135.6</x:v>
      </x:c>
      <x:c r="D17" s="42" t="n">
        <x:v>1885</x:v>
      </x:c>
      <x:c r="E17" s="42" t="n">
        <x:v>31</x:v>
      </x:c>
      <x:c r="F17" s="42" t="n">
        <x:v>58435</x:v>
      </x:c>
      <x:c r="G17" s="45" t="n">
        <x:v>23.7</x:v>
      </x:c>
      <x:c r="H17" s="45" t="n">
        <x:v>0</x:v>
      </x:c>
      <x:c r="I17" s="27" t="str">
        <x:v>有效</x:v>
      </x:c>
      <x:c r="J17" s="27" t="str">
        <x:v>中央氣象署 CODiS 淡水站 466900 月平均觀測</x:v>
      </x:c>
    </x:row>
    <x:row r="18">
      <x:c r="A18" s="27" t="str">
        <x:v>2022-11</x:v>
      </x:c>
      <x:c r="B18" s="27" t="str">
        <x:v>111-1</x:v>
      </x:c>
      <x:c r="C18" s="42" t="n">
        <x:v>161382.25</x:v>
      </x:c>
      <x:c r="D18" s="42" t="n">
        <x:v>1885</x:v>
      </x:c>
      <x:c r="E18" s="42" t="n">
        <x:v>30</x:v>
      </x:c>
      <x:c r="F18" s="42" t="n">
        <x:v>56550</x:v>
      </x:c>
      <x:c r="G18" s="45" t="n">
        <x:v>22.9</x:v>
      </x:c>
      <x:c r="H18" s="45" t="n">
        <x:v>0</x:v>
      </x:c>
      <x:c r="I18" s="27" t="str">
        <x:v>有效</x:v>
      </x:c>
      <x:c r="J18" s="27" t="str">
        <x:v>中央氣象署 CODiS 淡水站 466900 月平均觀測</x:v>
      </x:c>
    </x:row>
    <x:row r="19">
      <x:c r="A19" s="27" t="str">
        <x:v>2022-12</x:v>
      </x:c>
      <x:c r="B19" s="27" t="str">
        <x:v>111-1</x:v>
      </x:c>
      <x:c r="C19" s="42" t="n">
        <x:v>164384.5</x:v>
      </x:c>
      <x:c r="D19" s="42" t="n">
        <x:v>1885</x:v>
      </x:c>
      <x:c r="E19" s="42" t="n">
        <x:v>31</x:v>
      </x:c>
      <x:c r="F19" s="42" t="n">
        <x:v>58435</x:v>
      </x:c>
      <x:c r="G19" s="45" t="n">
        <x:v>15.8</x:v>
      </x:c>
      <x:c r="H19" s="45" t="n">
        <x:v>0</x:v>
      </x:c>
      <x:c r="I19" s="27" t="str">
        <x:v>有效</x:v>
      </x:c>
      <x:c r="J19" s="27" t="str">
        <x:v>中央氣象署 CODiS 淡水站 466900 月平均觀測</x:v>
      </x:c>
    </x:row>
    <x:row r="20">
      <x:c r="A20" s="27" t="str">
        <x:v>2023-01</x:v>
      </x:c>
      <x:c r="B20" s="27" t="str">
        <x:v>111-1</x:v>
      </x:c>
      <x:c r="C20" s="42" t="n">
        <x:v>92304</x:v>
      </x:c>
      <x:c r="D20" s="42" t="n">
        <x:v>1885</x:v>
      </x:c>
      <x:c r="E20" s="42" t="n">
        <x:v>31</x:v>
      </x:c>
      <x:c r="F20" s="42" t="n">
        <x:v>58435</x:v>
      </x:c>
      <x:c r="G20" s="45" t="n">
        <x:v>16</x:v>
      </x:c>
      <x:c r="H20" s="45" t="n">
        <x:v>0</x:v>
      </x:c>
      <x:c r="I20" s="27" t="str">
        <x:v>有效</x:v>
      </x:c>
      <x:c r="J20" s="27" t="str">
        <x:v>中央氣象署 CODiS 淡水站 466900 月平均觀測</x:v>
      </x:c>
    </x:row>
    <x:row r="21">
      <x:c r="A21" s="27" t="str">
        <x:v>2023-02</x:v>
      </x:c>
      <x:c r="B21" s="27" t="str">
        <x:v>111-2</x:v>
      </x:c>
      <x:c r="C21" s="42" t="n">
        <x:v>60897.105</x:v>
      </x:c>
      <x:c r="D21" s="42" t="n">
        <x:v>1885</x:v>
      </x:c>
      <x:c r="E21" s="42" t="n">
        <x:v>18</x:v>
      </x:c>
      <x:c r="F21" s="42" t="n">
        <x:v>33930</x:v>
      </x:c>
      <x:c r="G21" s="45" t="n">
        <x:v>16.2</x:v>
      </x:c>
      <x:c r="H21" s="45" t="n">
        <x:v>0</x:v>
      </x:c>
      <x:c r="I21" s="27" t="str">
        <x:v>有效</x:v>
      </x:c>
      <x:c r="J21" s="27" t="str">
        <x:v>中央氣象署 CODiS 淡水站 466900 月平均觀測</x:v>
      </x:c>
    </x:row>
    <x:row r="22">
      <x:c r="A22" s="27" t="str">
        <x:v>2023-03</x:v>
      </x:c>
      <x:c r="B22" s="27" t="str">
        <x:v>111-2</x:v>
      </x:c>
      <x:c r="C22" s="42" t="n">
        <x:v>170447</x:v>
      </x:c>
      <x:c r="D22" s="42" t="n">
        <x:v>1885</x:v>
      </x:c>
      <x:c r="E22" s="42" t="n">
        <x:v>31</x:v>
      </x:c>
      <x:c r="F22" s="42" t="n">
        <x:v>58435</x:v>
      </x:c>
      <x:c r="G22" s="45" t="n">
        <x:v>18.8</x:v>
      </x:c>
      <x:c r="H22" s="45" t="n">
        <x:v>0</x:v>
      </x:c>
      <x:c r="I22" s="27" t="str">
        <x:v>有效</x:v>
      </x:c>
      <x:c r="J22" s="27" t="str">
        <x:v>中央氣象署 CODiS 淡水站 466900 月平均觀測</x:v>
      </x:c>
    </x:row>
    <x:row r="23">
      <x:c r="A23" s="27" t="str">
        <x:v>2023-04</x:v>
      </x:c>
      <x:c r="B23" s="27" t="str">
        <x:v>111-2</x:v>
      </x:c>
      <x:c r="C23" s="42" t="n">
        <x:v>151545.8</x:v>
      </x:c>
      <x:c r="D23" s="42" t="n">
        <x:v>1885</x:v>
      </x:c>
      <x:c r="E23" s="42" t="n">
        <x:v>30</x:v>
      </x:c>
      <x:c r="F23" s="42" t="n">
        <x:v>56550</x:v>
      </x:c>
      <x:c r="G23" s="45" t="n">
        <x:v>21.7</x:v>
      </x:c>
      <x:c r="H23" s="45" t="n">
        <x:v>0</x:v>
      </x:c>
      <x:c r="I23" s="27" t="str">
        <x:v>有效</x:v>
      </x:c>
      <x:c r="J23" s="27" t="str">
        <x:v>中央氣象署 CODiS 淡水站 466900 月平均觀測</x:v>
      </x:c>
    </x:row>
    <x:row r="24">
      <x:c r="A24" s="27" t="str">
        <x:v>2023-05</x:v>
      </x:c>
      <x:c r="B24" s="27" t="str">
        <x:v>111-2</x:v>
      </x:c>
      <x:c r="C24" s="42" t="n">
        <x:v>163950</x:v>
      </x:c>
      <x:c r="D24" s="42" t="n">
        <x:v>1885</x:v>
      </x:c>
      <x:c r="E24" s="42" t="n">
        <x:v>31</x:v>
      </x:c>
      <x:c r="F24" s="42" t="n">
        <x:v>58435</x:v>
      </x:c>
      <x:c r="G24" s="45" t="n">
        <x:v>25.1</x:v>
      </x:c>
      <x:c r="H24" s="45" t="n">
        <x:v>0</x:v>
      </x:c>
      <x:c r="I24" s="27" t="str">
        <x:v>有效</x:v>
      </x:c>
      <x:c r="J24" s="27" t="str">
        <x:v>中央氣象署 CODiS 淡水站 466900 月平均觀測</x:v>
      </x:c>
    </x:row>
    <x:row r="25">
      <x:c r="A25" s="27" t="str">
        <x:v>2023-06</x:v>
      </x:c>
      <x:c r="B25" s="27" t="str">
        <x:v>111-2</x:v>
      </x:c>
      <x:c r="C25" s="42" t="n">
        <x:v>123756</x:v>
      </x:c>
      <x:c r="D25" s="42" t="n">
        <x:v>1885</x:v>
      </x:c>
      <x:c r="E25" s="42" t="n">
        <x:v>30</x:v>
      </x:c>
      <x:c r="F25" s="42" t="n">
        <x:v>56550</x:v>
      </x:c>
      <x:c r="G25" s="45" t="n">
        <x:v>28.1</x:v>
      </x:c>
      <x:c r="H25" s="45" t="n">
        <x:v>63.00000000000004</x:v>
      </x:c>
      <x:c r="I25" s="27" t="str">
        <x:v>有效</x:v>
      </x:c>
      <x:c r="J25" s="27" t="str">
        <x:v>中央氣象署 CODiS 淡水站 466900 月平均觀測</x:v>
      </x:c>
    </x:row>
    <x:row r="26">
      <x:c r="A26" s="27" t="str">
        <x:v>2023-09</x:v>
      </x:c>
      <x:c r="B26" s="27" t="str">
        <x:v>112-1</x:v>
      </x:c>
      <x:c r="C26" s="42" t="n">
        <x:v>97558.11875</x:v>
      </x:c>
      <x:c r="D26" s="42" t="n">
        <x:v>2111</x:v>
      </x:c>
      <x:c r="E26" s="42" t="n">
        <x:v>29</x:v>
      </x:c>
      <x:c r="F26" s="42" t="n">
        <x:v>61219</x:v>
      </x:c>
      <x:c r="G26" s="45" t="n">
        <x:v>28.6</x:v>
      </x:c>
      <x:c r="H26" s="45" t="n">
        <x:v>75.40000000000003</x:v>
      </x:c>
      <x:c r="I26" s="27" t="str">
        <x:v>有效</x:v>
      </x:c>
      <x:c r="J26" s="27" t="str">
        <x:v>中央氣象署 CODiS 淡水站 466900 月平均觀測</x:v>
      </x:c>
    </x:row>
    <x:row r="27">
      <x:c r="A27" s="27" t="str">
        <x:v>2023-10</x:v>
      </x:c>
      <x:c r="B27" s="27" t="str">
        <x:v>112-1</x:v>
      </x:c>
      <x:c r="C27" s="42" t="n">
        <x:v>149893.8</x:v>
      </x:c>
      <x:c r="D27" s="42" t="n">
        <x:v>2111</x:v>
      </x:c>
      <x:c r="E27" s="42" t="n">
        <x:v>31</x:v>
      </x:c>
      <x:c r="F27" s="42" t="n">
        <x:v>65441</x:v>
      </x:c>
      <x:c r="G27" s="45" t="n">
        <x:v>24.8</x:v>
      </x:c>
      <x:c r="H27" s="45" t="n">
        <x:v>0</x:v>
      </x:c>
      <x:c r="I27" s="27" t="str">
        <x:v>有效</x:v>
      </x:c>
      <x:c r="J27" s="27" t="str">
        <x:v>中央氣象署 CODiS 淡水站 466900 月平均觀測</x:v>
      </x:c>
    </x:row>
    <x:row r="28">
      <x:c r="A28" s="27" t="str">
        <x:v>2023-11</x:v>
      </x:c>
      <x:c r="B28" s="27" t="str">
        <x:v>112-1</x:v>
      </x:c>
      <x:c r="C28" s="42" t="n">
        <x:v>166012.25</x:v>
      </x:c>
      <x:c r="D28" s="42" t="n">
        <x:v>2111</x:v>
      </x:c>
      <x:c r="E28" s="42" t="n">
        <x:v>30</x:v>
      </x:c>
      <x:c r="F28" s="42" t="n">
        <x:v>63330</x:v>
      </x:c>
      <x:c r="G28" s="45" t="n">
        <x:v>21.6</x:v>
      </x:c>
      <x:c r="H28" s="45" t="n">
        <x:v>0</x:v>
      </x:c>
      <x:c r="I28" s="27" t="str">
        <x:v>有效</x:v>
      </x:c>
      <x:c r="J28" s="27" t="str">
        <x:v>中央氣象署 CODiS 淡水站 466900 月平均觀測</x:v>
      </x:c>
    </x:row>
    <x:row r="29">
      <x:c r="A29" s="27" t="str">
        <x:v>2023-12</x:v>
      </x:c>
      <x:c r="B29" s="27" t="str">
        <x:v>112-1</x:v>
      </x:c>
      <x:c r="C29" s="42" t="n">
        <x:v>163002.75</x:v>
      </x:c>
      <x:c r="D29" s="42" t="n">
        <x:v>2111</x:v>
      </x:c>
      <x:c r="E29" s="42" t="n">
        <x:v>31</x:v>
      </x:c>
      <x:c r="F29" s="42" t="n">
        <x:v>65441</x:v>
      </x:c>
      <x:c r="G29" s="45" t="n">
        <x:v>17.9</x:v>
      </x:c>
      <x:c r="H29" s="45" t="n">
        <x:v>0</x:v>
      </x:c>
      <x:c r="I29" s="27" t="str">
        <x:v>有效</x:v>
      </x:c>
      <x:c r="J29" s="27" t="str">
        <x:v>中央氣象署 CODiS 淡水站 466900 月平均觀測</x:v>
      </x:c>
    </x:row>
    <x:row r="30">
      <x:c r="A30" s="27" t="str">
        <x:v>2024-01</x:v>
      </x:c>
      <x:c r="B30" s="27" t="str">
        <x:v>112-1</x:v>
      </x:c>
      <x:c r="C30" s="42" t="n">
        <x:v>99858</x:v>
      </x:c>
      <x:c r="D30" s="42" t="n">
        <x:v>2111</x:v>
      </x:c>
      <x:c r="E30" s="42" t="n">
        <x:v>31</x:v>
      </x:c>
      <x:c r="F30" s="42" t="n">
        <x:v>65441</x:v>
      </x:c>
      <x:c r="G30" s="45" t="n">
        <x:v>15.9</x:v>
      </x:c>
      <x:c r="H30" s="45" t="n">
        <x:v>0</x:v>
      </x:c>
      <x:c r="I30" s="27" t="str">
        <x:v>有效</x:v>
      </x:c>
      <x:c r="J30" s="27" t="str">
        <x:v>中央氣象署 CODiS 淡水站 466900 月平均觀測</x:v>
      </x:c>
    </x:row>
    <x:row r="31">
      <x:c r="A31" s="27" t="str">
        <x:v>2024-02</x:v>
      </x:c>
      <x:c r="B31" s="27" t="str">
        <x:v>112-2</x:v>
      </x:c>
      <x:c r="C31" s="42" t="n">
        <x:v>83968</x:v>
      </x:c>
      <x:c r="D31" s="42" t="n">
        <x:v>2111</x:v>
      </x:c>
      <x:c r="E31" s="42" t="n">
        <x:v>13</x:v>
      </x:c>
      <x:c r="F31" s="42" t="n">
        <x:v>27443</x:v>
      </x:c>
      <x:c r="G31" s="45" t="n">
        <x:v>16.7</x:v>
      </x:c>
      <x:c r="H31" s="45" t="n">
        <x:v>0</x:v>
      </x:c>
      <x:c r="I31" s="27" t="str">
        <x:v>有效</x:v>
      </x:c>
      <x:c r="J31" s="27" t="str">
        <x:v>中央氣象署 CODiS 淡水站 466900 月平均觀測</x:v>
      </x:c>
    </x:row>
    <x:row r="32">
      <x:c r="A32" s="27" t="str">
        <x:v>2024-03</x:v>
      </x:c>
      <x:c r="B32" s="27" t="str">
        <x:v>112-2</x:v>
      </x:c>
      <x:c r="C32" s="42" t="n">
        <x:v>179435</x:v>
      </x:c>
      <x:c r="D32" s="42" t="n">
        <x:v>2111</x:v>
      </x:c>
      <x:c r="E32" s="42" t="n">
        <x:v>31</x:v>
      </x:c>
      <x:c r="F32" s="42" t="n">
        <x:v>65441</x:v>
      </x:c>
      <x:c r="G32" s="45" t="n">
        <x:v>18.4</x:v>
      </x:c>
      <x:c r="H32" s="45" t="n">
        <x:v>0</x:v>
      </x:c>
      <x:c r="I32" s="27" t="str">
        <x:v>有效</x:v>
      </x:c>
      <x:c r="J32" s="27" t="str">
        <x:v>中央氣象署 CODiS 淡水站 466900 月平均觀測</x:v>
      </x:c>
    </x:row>
    <x:row r="33">
      <x:c r="A33" s="27" t="str">
        <x:v>2024-04</x:v>
      </x:c>
      <x:c r="B33" s="27" t="str">
        <x:v>112-2</x:v>
      </x:c>
      <x:c r="C33" s="42" t="n">
        <x:v>160096</x:v>
      </x:c>
      <x:c r="D33" s="42" t="n">
        <x:v>2111</x:v>
      </x:c>
      <x:c r="E33" s="42" t="n">
        <x:v>30</x:v>
      </x:c>
      <x:c r="F33" s="42" t="n">
        <x:v>63330</x:v>
      </x:c>
      <x:c r="G33" s="45" t="n">
        <x:v>24.1</x:v>
      </x:c>
      <x:c r="H33" s="45" t="n">
        <x:v>0</x:v>
      </x:c>
      <x:c r="I33" s="27" t="str">
        <x:v>有效</x:v>
      </x:c>
      <x:c r="J33" s="27" t="str">
        <x:v>中央氣象署 CODiS 淡水站 466900 月平均觀測</x:v>
      </x:c>
    </x:row>
    <x:row r="34">
      <x:c r="A34" s="27" t="str">
        <x:v>2024-05</x:v>
      </x:c>
      <x:c r="B34" s="27" t="str">
        <x:v>112-2</x:v>
      </x:c>
      <x:c r="C34" s="42" t="n">
        <x:v>188234</x:v>
      </x:c>
      <x:c r="D34" s="42" t="n">
        <x:v>2111</x:v>
      </x:c>
      <x:c r="E34" s="42" t="n">
        <x:v>31</x:v>
      </x:c>
      <x:c r="F34" s="42" t="n">
        <x:v>65441</x:v>
      </x:c>
      <x:c r="G34" s="45" t="n">
        <x:v>24.7</x:v>
      </x:c>
      <x:c r="H34" s="45" t="n">
        <x:v>0</x:v>
      </x:c>
      <x:c r="I34" s="27" t="str">
        <x:v>有效</x:v>
      </x:c>
      <x:c r="J34" s="27" t="str">
        <x:v>中央氣象署 CODiS 淡水站 466900 月平均觀測</x:v>
      </x:c>
    </x:row>
    <x:row r="35">
      <x:c r="A35" s="27" t="str">
        <x:v>2024-06</x:v>
      </x:c>
      <x:c r="B35" s="27" t="str">
        <x:v>112-2</x:v>
      </x:c>
      <x:c r="C35" s="42" t="n">
        <x:v>152214</x:v>
      </x:c>
      <x:c r="D35" s="42" t="n">
        <x:v>2111</x:v>
      </x:c>
      <x:c r="E35" s="42" t="n">
        <x:v>30</x:v>
      </x:c>
      <x:c r="F35" s="42" t="n">
        <x:v>63330</x:v>
      </x:c>
      <x:c r="G35" s="45" t="n">
        <x:v>27.8</x:v>
      </x:c>
      <x:c r="H35" s="45" t="n">
        <x:v>54.00000000000002</x:v>
      </x:c>
      <x:c r="I35" s="27" t="str">
        <x:v>有效</x:v>
      </x:c>
      <x:c r="J35" s="27" t="str">
        <x:v>中央氣象署 CODiS 淡水站 466900 月平均觀測</x:v>
      </x:c>
    </x:row>
    <x:row r="36">
      <x:c r="A36" s="27" t="str">
        <x:v>2024-09</x:v>
      </x:c>
      <x:c r="B36" s="27" t="str">
        <x:v>113-1</x:v>
      </x:c>
      <x:c r="C36" s="42" t="n">
        <x:v>188662</x:v>
      </x:c>
      <x:c r="D36" s="42" t="n">
        <x:v>2093</x:v>
      </x:c>
      <x:c r="E36" s="42" t="n">
        <x:v>30</x:v>
      </x:c>
      <x:c r="F36" s="42" t="n">
        <x:v>62790</x:v>
      </x:c>
      <x:c r="G36" s="45" t="n">
        <x:v>28.7</x:v>
      </x:c>
      <x:c r="H36" s="45" t="n">
        <x:v>80.99999999999997</x:v>
      </x:c>
      <x:c r="I36" s="27" t="str">
        <x:v>有效</x:v>
      </x:c>
      <x:c r="J36" s="27" t="str">
        <x:v>中央氣象署 CODiS 淡水站 466900 月平均觀測</x:v>
      </x:c>
    </x:row>
    <x:row r="37">
      <x:c r="A37" s="27" t="str">
        <x:v>2024-10</x:v>
      </x:c>
      <x:c r="B37" s="27" t="str">
        <x:v>113-1</x:v>
      </x:c>
      <x:c r="C37" s="42" t="n">
        <x:v>198184</x:v>
      </x:c>
      <x:c r="D37" s="42" t="n">
        <x:v>2093</x:v>
      </x:c>
      <x:c r="E37" s="42" t="n">
        <x:v>31</x:v>
      </x:c>
      <x:c r="F37" s="42" t="n">
        <x:v>64883</x:v>
      </x:c>
      <x:c r="G37" s="45" t="n">
        <x:v>25.2</x:v>
      </x:c>
      <x:c r="H37" s="45" t="n">
        <x:v>0</x:v>
      </x:c>
      <x:c r="I37" s="27" t="str">
        <x:v>有效</x:v>
      </x:c>
      <x:c r="J37" s="27" t="str">
        <x:v>中央氣象署 CODiS 淡水站 466900 月平均觀測</x:v>
      </x:c>
    </x:row>
    <x:row r="38">
      <x:c r="A38" s="27" t="str">
        <x:v>2024-11</x:v>
      </x:c>
      <x:c r="B38" s="27" t="str">
        <x:v>113-1</x:v>
      </x:c>
      <x:c r="C38" s="42" t="n">
        <x:v>192439</x:v>
      </x:c>
      <x:c r="D38" s="42" t="n">
        <x:v>2093</x:v>
      </x:c>
      <x:c r="E38" s="42" t="n">
        <x:v>30</x:v>
      </x:c>
      <x:c r="F38" s="42" t="n">
        <x:v>62790</x:v>
      </x:c>
      <x:c r="G38" s="45" t="n">
        <x:v>21.5</x:v>
      </x:c>
      <x:c r="H38" s="45" t="n">
        <x:v>0</x:v>
      </x:c>
      <x:c r="I38" s="27" t="str">
        <x:v>有效</x:v>
      </x:c>
      <x:c r="J38" s="27" t="str">
        <x:v>中央氣象署 CODiS 淡水站 466900 月平均觀測</x:v>
      </x:c>
    </x:row>
    <x:row r="39">
      <x:c r="A39" s="27" t="str">
        <x:v>2024-12</x:v>
      </x:c>
      <x:c r="B39" s="27" t="str">
        <x:v>113-1</x:v>
      </x:c>
      <x:c r="C39" s="42" t="n">
        <x:v>202449</x:v>
      </x:c>
      <x:c r="D39" s="42" t="n">
        <x:v>2093</x:v>
      </x:c>
      <x:c r="E39" s="42" t="n">
        <x:v>31</x:v>
      </x:c>
      <x:c r="F39" s="42" t="n">
        <x:v>64883</x:v>
      </x:c>
      <x:c r="G39" s="45" t="n">
        <x:v>16.8</x:v>
      </x:c>
      <x:c r="H39" s="45" t="n">
        <x:v>0</x:v>
      </x:c>
      <x:c r="I39" s="27" t="str">
        <x:v>有效</x:v>
      </x:c>
      <x:c r="J39" s="27" t="str">
        <x:v>中央氣象署 CODiS 淡水站 466900 月平均觀測</x:v>
      </x:c>
    </x:row>
    <x:row r="40">
      <x:c r="A40" s="27" t="str">
        <x:v>2025-01</x:v>
      </x:c>
      <x:c r="B40" s="27" t="str">
        <x:v>113-1</x:v>
      </x:c>
      <x:c r="C40" s="42" t="n">
        <x:v>81892</x:v>
      </x:c>
      <x:c r="D40" s="42" t="n">
        <x:v>2093</x:v>
      </x:c>
      <x:c r="E40" s="42" t="n">
        <x:v>31</x:v>
      </x:c>
      <x:c r="F40" s="42" t="n">
        <x:v>64883</x:v>
      </x:c>
      <x:c r="G40" s="45" t="n">
        <x:v>15.3</x:v>
      </x:c>
      <x:c r="H40" s="45" t="n">
        <x:v>0</x:v>
      </x:c>
      <x:c r="I40" s="27" t="str">
        <x:v>有效</x:v>
      </x:c>
      <x:c r="J40" s="27" t="str">
        <x:v>中央氣象署 CODiS 淡水站 466900 月平均觀測</x:v>
      </x:c>
    </x:row>
    <x:row r="41">
      <x:c r="A41" s="27" t="str">
        <x:v>2025-02</x:v>
      </x:c>
      <x:c r="B41" s="27" t="str">
        <x:v>113-2</x:v>
      </x:c>
      <x:c r="C41" s="42" t="n">
        <x:v>83245</x:v>
      </x:c>
      <x:c r="D41" s="42" t="n">
        <x:v>1974</x:v>
      </x:c>
      <x:c r="E41" s="42" t="n">
        <x:v>14</x:v>
      </x:c>
      <x:c r="F41" s="42" t="n">
        <x:v>27636</x:v>
      </x:c>
      <x:c r="G41" s="45" t="n">
        <x:v>15.5</x:v>
      </x:c>
      <x:c r="H41" s="45" t="n">
        <x:v>0</x:v>
      </x:c>
      <x:c r="I41" s="27" t="str">
        <x:v>有效</x:v>
      </x:c>
      <x:c r="J41" s="27" t="str">
        <x:v>中央氣象署 CODiS 淡水站 466900 月平均觀測</x:v>
      </x:c>
    </x:row>
    <x:row r="42">
      <x:c r="A42" s="27" t="str">
        <x:v>2025-03</x:v>
      </x:c>
      <x:c r="B42" s="27" t="str">
        <x:v>113-2</x:v>
      </x:c>
      <x:c r="C42" s="42" t="n">
        <x:v>176188</x:v>
      </x:c>
      <x:c r="D42" s="42" t="n">
        <x:v>1974</x:v>
      </x:c>
      <x:c r="E42" s="42" t="n">
        <x:v>31</x:v>
      </x:c>
      <x:c r="F42" s="42" t="n">
        <x:v>61194</x:v>
      </x:c>
      <x:c r="G42" s="45" t="n">
        <x:v>17.3</x:v>
      </x:c>
      <x:c r="H42" s="45" t="n">
        <x:v>0</x:v>
      </x:c>
      <x:c r="I42" s="27" t="str">
        <x:v>有效</x:v>
      </x:c>
      <x:c r="J42" s="27" t="str">
        <x:v>中央氣象署 CODiS 淡水站 466900 月平均觀測</x:v>
      </x:c>
    </x:row>
    <x:row r="43">
      <x:c r="A43" s="27" t="str">
        <x:v>2025-04</x:v>
      </x:c>
      <x:c r="B43" s="27" t="str">
        <x:v>113-2</x:v>
      </x:c>
      <x:c r="C43" s="42" t="n">
        <x:v>173003</x:v>
      </x:c>
      <x:c r="D43" s="42" t="n">
        <x:v>1974</x:v>
      </x:c>
      <x:c r="E43" s="42" t="n">
        <x:v>30</x:v>
      </x:c>
      <x:c r="F43" s="42" t="n">
        <x:v>59220</x:v>
      </x:c>
      <x:c r="G43" s="45" t="n">
        <x:v>21.7</x:v>
      </x:c>
      <x:c r="H43" s="45" t="n">
        <x:v>0</x:v>
      </x:c>
      <x:c r="I43" s="27" t="str">
        <x:v>有效</x:v>
      </x:c>
      <x:c r="J43" s="27" t="str">
        <x:v>中央氣象署 CODiS 淡水站 466900 月平均觀測</x:v>
      </x:c>
    </x:row>
    <x:row r="44">
      <x:c r="A44" s="27" t="str">
        <x:v>2025-05</x:v>
      </x:c>
      <x:c r="B44" s="27" t="str">
        <x:v>113-2</x:v>
      </x:c>
      <x:c r="C44" s="42" t="n">
        <x:v>155462</x:v>
      </x:c>
      <x:c r="D44" s="42" t="n">
        <x:v>1974</x:v>
      </x:c>
      <x:c r="E44" s="42" t="n">
        <x:v>31</x:v>
      </x:c>
      <x:c r="F44" s="42" t="n">
        <x:v>61194</x:v>
      </x:c>
      <x:c r="G44" s="45" t="n">
        <x:v>25.1</x:v>
      </x:c>
      <x:c r="H44" s="45" t="n">
        <x:v>0</x:v>
      </x:c>
      <x:c r="I44" s="27" t="str">
        <x:v>有效</x:v>
      </x:c>
      <x:c r="J44" s="27" t="str">
        <x:v>中央氣象署 CODiS 淡水站 466900 月平均觀測</x:v>
      </x:c>
    </x:row>
    <x:row r="45">
      <x:c r="A45" s="27" t="str">
        <x:v>2025-10</x:v>
      </x:c>
      <x:c r="B45" s="27" t="str">
        <x:v>114-1</x:v>
      </x:c>
      <x:c r="C45" s="42" t="n">
        <x:v>154238</x:v>
      </x:c>
      <x:c r="D45" s="42" t="n">
        <x:v>2011</x:v>
      </x:c>
      <x:c r="E45" s="42" t="n">
        <x:v>31</x:v>
      </x:c>
      <x:c r="F45" s="42" t="n">
        <x:v>62341</x:v>
      </x:c>
      <x:c r="G45" s="45" t="n">
        <x:v>26.6</x:v>
      </x:c>
      <x:c r="H45" s="45" t="n">
        <x:v>18.600000000000044</x:v>
      </x:c>
      <x:c r="I45" s="27" t="str">
        <x:v>有效</x:v>
      </x:c>
      <x:c r="J45" s="27" t="str">
        <x:v>中央氣象署 CODiS 淡水站 466900 月平均觀測</x:v>
      </x:c>
    </x:row>
    <x:row r="46">
      <x:c r="A46" s="27" t="str">
        <x:v>2025-11</x:v>
      </x:c>
      <x:c r="B46" s="27" t="str">
        <x:v>114-1</x:v>
      </x:c>
      <x:c r="C46" s="42" t="n">
        <x:v>166729</x:v>
      </x:c>
      <x:c r="D46" s="42" t="n">
        <x:v>2011</x:v>
      </x:c>
      <x:c r="E46" s="42" t="n">
        <x:v>30</x:v>
      </x:c>
      <x:c r="F46" s="42" t="n">
        <x:v>60330</x:v>
      </x:c>
      <x:c r="G46" s="45" t="n">
        <x:v>21.4</x:v>
      </x:c>
      <x:c r="H46" s="45" t="n">
        <x:v>0</x:v>
      </x:c>
      <x:c r="I46" s="27" t="str">
        <x:v>有效</x:v>
      </x:c>
      <x:c r="J46" s="27" t="str">
        <x:v>中央氣象署 CODiS 淡水站 466900 月平均觀測</x:v>
      </x:c>
    </x:row>
    <x:row r="47">
      <x:c r="A47" s="27" t="str">
        <x:v>2025-12</x:v>
      </x:c>
      <x:c r="B47" s="27" t="str">
        <x:v>114-1</x:v>
      </x:c>
      <x:c r="C47" s="42" t="n">
        <x:v>177761</x:v>
      </x:c>
      <x:c r="D47" s="42" t="n">
        <x:v>2011</x:v>
      </x:c>
      <x:c r="E47" s="42" t="n">
        <x:v>31</x:v>
      </x:c>
      <x:c r="F47" s="42" t="n">
        <x:v>62341</x:v>
      </x:c>
      <x:c r="G47" s="45" t="n">
        <x:v>18.6</x:v>
      </x:c>
      <x:c r="H47" s="45" t="n">
        <x:v>0</x:v>
      </x:c>
      <x:c r="I47" s="27" t="str">
        <x:v>有效</x:v>
      </x:c>
      <x:c r="J47" s="27" t="str">
        <x:v>中央氣象署 CODiS 淡水站 466900 月平均觀測</x:v>
      </x:c>
    </x:row>
    <x:row r="48">
      <x:c r="A48" s="27" t="str">
        <x:v>2026-01</x:v>
      </x:c>
      <x:c r="B48" s="27" t="str">
        <x:v>114-1</x:v>
      </x:c>
      <x:c r="C48" s="42" t="n">
        <x:v>94718</x:v>
      </x:c>
      <x:c r="D48" s="42" t="n">
        <x:v>2011</x:v>
      </x:c>
      <x:c r="E48" s="42" t="n">
        <x:v>31</x:v>
      </x:c>
      <x:c r="F48" s="42" t="n">
        <x:v>62341</x:v>
      </x:c>
      <x:c r="G48" s="45" t="n">
        <x:v>15.4</x:v>
      </x:c>
      <x:c r="H48" s="45" t="n">
        <x:v>0</x:v>
      </x:c>
      <x:c r="I48" s="27" t="str">
        <x:v>有效</x:v>
      </x:c>
      <x:c r="J48" s="27" t="str">
        <x:v>中央氣象署 CODiS 淡水站 466900 月平均觀測</x:v>
      </x:c>
    </x:row>
    <x:row r="49">
      <x:c r="A49" s="27" t="str">
        <x:v>2026-02</x:v>
      </x:c>
      <x:c r="B49" s="27" t="str">
        <x:v>114-2</x:v>
      </x:c>
      <x:c r="C49" s="42" t="n">
        <x:v>40735</x:v>
      </x:c>
      <x:c r="D49" s="42" t="n">
        <x:v>1948</x:v>
      </x:c>
      <x:c r="E49" s="42" t="n">
        <x:v>8</x:v>
      </x:c>
      <x:c r="F49" s="42" t="n">
        <x:v>15584</x:v>
      </x:c>
      <x:c r="G49" s="45" t="n">
        <x:v>17.4</x:v>
      </x:c>
      <x:c r="H49" s="45" t="n">
        <x:v>0</x:v>
      </x:c>
      <x:c r="I49" s="27" t="str">
        <x:v>有效</x:v>
      </x:c>
      <x:c r="J49" s="27" t="str">
        <x:v>中央氣象署 CODiS 淡水站 466900 月平均觀測</x:v>
      </x:c>
    </x:row>
    <x:row r="50">
      <x:c r="A50" s="27" t="str">
        <x:v>2026-03</x:v>
      </x:c>
      <x:c r="B50" s="27" t="str">
        <x:v>114-2</x:v>
      </x:c>
      <x:c r="C50" s="42" t="n">
        <x:v>141303</x:v>
      </x:c>
      <x:c r="D50" s="42" t="n">
        <x:v>1948</x:v>
      </x:c>
      <x:c r="E50" s="42" t="n">
        <x:v>31</x:v>
      </x:c>
      <x:c r="F50" s="42" t="n">
        <x:v>60388</x:v>
      </x:c>
      <x:c r="G50" s="45" t="n">
        <x:v>18.7</x:v>
      </x:c>
      <x:c r="H50" s="45" t="n">
        <x:v>0</x:v>
      </x:c>
      <x:c r="I50" s="27" t="str">
        <x:v>有效</x:v>
      </x:c>
      <x:c r="J50" s="27" t="str">
        <x:v>中央氣象署 CODiS 淡水站 466900 月平均觀測</x:v>
      </x:c>
    </x:row>
    <x:row r="51">
      <x:c r="A51" s="27" t="str">
        <x:v>2026-04</x:v>
      </x:c>
      <x:c r="B51" s="27" t="str">
        <x:v>114-2</x:v>
      </x:c>
      <x:c r="C51" s="42" t="n">
        <x:v>141669</x:v>
      </x:c>
      <x:c r="D51" s="42" t="n">
        <x:v>1948</x:v>
      </x:c>
      <x:c r="E51" s="42" t="n">
        <x:v>30</x:v>
      </x:c>
      <x:c r="F51" s="42" t="n">
        <x:v>58440</x:v>
      </x:c>
      <x:c r="G51" s="45" t="n">
        <x:v>23.3</x:v>
      </x:c>
      <x:c r="H51" s="45" t="n">
        <x:v>0</x:v>
      </x:c>
      <x:c r="I51" s="27" t="str">
        <x:v>有效</x:v>
      </x:c>
      <x:c r="J51" s="27" t="str">
        <x:v>中央氣象署 CODiS 淡水站 466900 月平均觀測</x:v>
      </x:c>
    </x:row>
    <x:row r="52">
      <x:c r="A52" s="27" t="str">
        <x:v>2026-05</x:v>
      </x:c>
      <x:c r="B52" s="27" t="str">
        <x:v>114-2</x:v>
      </x:c>
      <x:c r="C52" s="42" t="n">
        <x:v>173649</x:v>
      </x:c>
      <x:c r="D52" s="42" t="n">
        <x:v>1948</x:v>
      </x:c>
      <x:c r="E52" s="42" t="n">
        <x:v>31</x:v>
      </x:c>
      <x:c r="F52" s="42" t="n">
        <x:v>60388</x:v>
      </x:c>
      <x:c r="G52" s="45" t="n">
        <x:v>25.5</x:v>
      </x:c>
      <x:c r="H52" s="45" t="n">
        <x:v>0</x:v>
      </x:c>
      <x:c r="I52" s="27" t="str">
        <x:v>有效</x:v>
      </x:c>
      <x:c r="J52" s="27" t="str">
        <x:v>中央氣象署 CODiS 淡水站 466900 月平均觀測</x:v>
      </x:c>
    </x:row>
    <x:row r="53">
      <x:c r="A53" s="28" t="str">
        <x:v>2026-06</x:v>
      </x:c>
      <x:c r="B53" s="28" t="str">
        <x:v>114-2</x:v>
      </x:c>
      <x:c r="C53" s="43" t="n">
        <x:v>146696</x:v>
      </x:c>
      <x:c r="D53" s="43" t="n">
        <x:v>1948</x:v>
      </x:c>
      <x:c r="E53" s="43" t="n">
        <x:v>30</x:v>
      </x:c>
      <x:c r="F53" s="43" t="n">
        <x:v>58440</x:v>
      </x:c>
      <x:c r="G53" s="46" t="n">
        <x:v>26.6</x:v>
      </x:c>
      <x:c r="H53" s="46" t="n">
        <x:v>18.000000000000043</x:v>
      </x:c>
      <x:c r="I53" s="28" t="str">
        <x:v>有效</x:v>
      </x:c>
      <x:c r="J53" s="28" t="str">
        <x:v>中央氣象署 CODiS 淡水站 466900 月平均觀測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cefae95c84e44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</x:cols>
  <x:sheetData>
    <x:row r="1" ht="32" customHeight="1">
      <x:c r="A1" s="3" t="str">
        <x:v>用電模型逐月向前驗證</x:v>
      </x:c>
      <x:c r="B1" s="3"/>
      <x:c r="C1" s="3"/>
      <x:c r="D1" s="3"/>
      <x:c r="E1" s="3"/>
      <x:c r="F1" s="3"/>
    </x:row>
    <x:row r="2" ht="36" customHeight="1">
      <x:c r="A2" s="7" t="str">
        <x:v>每次只用預測月份以前的資料選擇正則化強度並訓練；這比隨機切分更符合實際下月預測。 </x:v>
      </x:c>
      <x:c r="B2" s="7"/>
      <x:c r="C2" s="7"/>
      <x:c r="D2" s="7"/>
      <x:c r="E2" s="7"/>
      <x:c r="F2" s="7"/>
    </x:row>
    <x:row r="3">
      <x:c r="A3" s="60"/>
      <x:c r="B3" s="60"/>
      <x:c r="C3" s="60"/>
      <x:c r="D3" s="60"/>
      <x:c r="E3" s="60"/>
      <x:c r="F3" s="60"/>
    </x:row>
    <x:row r="4">
      <x:c r="A4" s="60"/>
      <x:c r="B4" s="60"/>
      <x:c r="C4" s="60"/>
      <x:c r="D4" s="60"/>
      <x:c r="E4" s="60"/>
      <x:c r="F4" s="60"/>
    </x:row>
    <x:row r="5" ht="34" customHeight="1">
      <x:c r="A5" s="19" t="str">
        <x:v>月份</x:v>
      </x:c>
      <x:c r="B5" s="20" t="str">
        <x:v>實際用電_kWh</x:v>
      </x:c>
      <x:c r="C5" s="20" t="str">
        <x:v>向前預測_kWh</x:v>
      </x:c>
      <x:c r="D5" s="20" t="str">
        <x:v>絕對誤差_kWh</x:v>
      </x:c>
      <x:c r="E5" s="20" t="str">
        <x:v>殘差_kWh</x:v>
      </x:c>
      <x:c r="F5" s="21" t="str">
        <x:v>選定 alpha</x:v>
      </x:c>
    </x:row>
    <x:row r="6">
      <x:c r="A6" s="26" t="str">
        <x:v>2024-01</x:v>
      </x:c>
      <x:c r="B6" s="41" t="n">
        <x:v>99858</x:v>
      </x:c>
      <x:c r="C6" s="41" t="n">
        <x:v>105280.89500058052</x:v>
      </x:c>
      <x:c r="D6" s="41" t="n">
        <x:v>5422.895000580524</x:v>
      </x:c>
      <x:c r="E6" s="41" t="n">
        <x:v>-5422.895000580524</x:v>
      </x:c>
      <x:c r="F6" s="26" t="n">
        <x:v>1</x:v>
      </x:c>
    </x:row>
    <x:row r="7">
      <x:c r="A7" s="27" t="str">
        <x:v>2024-02</x:v>
      </x:c>
      <x:c r="B7" s="42" t="n">
        <x:v>83968</x:v>
      </x:c>
      <x:c r="C7" s="42" t="n">
        <x:v>61709.39209189529</x:v>
      </x:c>
      <x:c r="D7" s="42" t="n">
        <x:v>22258.607908104703</x:v>
      </x:c>
      <x:c r="E7" s="42" t="n">
        <x:v>22258.607908104706</x:v>
      </x:c>
      <x:c r="F7" s="27" t="n">
        <x:v>10</x:v>
      </x:c>
    </x:row>
    <x:row r="8">
      <x:c r="A8" s="27" t="str">
        <x:v>2024-03</x:v>
      </x:c>
      <x:c r="B8" s="42" t="n">
        <x:v>179435</x:v>
      </x:c>
      <x:c r="C8" s="42" t="n">
        <x:v>175922.00883717893</x:v>
      </x:c>
      <x:c r="D8" s="42" t="n">
        <x:v>3512.9911628210684</x:v>
      </x:c>
      <x:c r="E8" s="42" t="n">
        <x:v>3512.9911628210684</x:v>
      </x:c>
      <x:c r="F8" s="27" t="n">
        <x:v>1</x:v>
      </x:c>
    </x:row>
    <x:row r="9">
      <x:c r="A9" s="27" t="str">
        <x:v>2024-04</x:v>
      </x:c>
      <x:c r="B9" s="42" t="n">
        <x:v>160096</x:v>
      </x:c>
      <x:c r="C9" s="42" t="n">
        <x:v>156435.63655450076</x:v>
      </x:c>
      <x:c r="D9" s="42" t="n">
        <x:v>3660.3634454992425</x:v>
      </x:c>
      <x:c r="E9" s="42" t="n">
        <x:v>3660.3634454992425</x:v>
      </x:c>
      <x:c r="F9" s="27" t="n">
        <x:v>1</x:v>
      </x:c>
    </x:row>
    <x:row r="10">
      <x:c r="A10" s="27" t="str">
        <x:v>2024-05</x:v>
      </x:c>
      <x:c r="B10" s="42" t="n">
        <x:v>188234</x:v>
      </x:c>
      <x:c r="C10" s="42" t="n">
        <x:v>155293.4775457747</x:v>
      </x:c>
      <x:c r="D10" s="42" t="n">
        <x:v>32940.52245422531</x:v>
      </x:c>
      <x:c r="E10" s="42" t="n">
        <x:v>32940.52245422531</x:v>
      </x:c>
      <x:c r="F10" s="27" t="n">
        <x:v>1</x:v>
      </x:c>
    </x:row>
    <x:row r="11">
      <x:c r="A11" s="27" t="str">
        <x:v>2024-06</x:v>
      </x:c>
      <x:c r="B11" s="42" t="n">
        <x:v>152214</x:v>
      </x:c>
      <x:c r="C11" s="42" t="n">
        <x:v>128354.9991027538</x:v>
      </x:c>
      <x:c r="D11" s="42" t="n">
        <x:v>23859.00089724621</x:v>
      </x:c>
      <x:c r="E11" s="42" t="n">
        <x:v>23859.000897246195</x:v>
      </x:c>
      <x:c r="F11" s="27" t="n">
        <x:v>0.1</x:v>
      </x:c>
    </x:row>
    <x:row r="12">
      <x:c r="A12" s="27" t="str">
        <x:v>2024-09</x:v>
      </x:c>
      <x:c r="B12" s="42" t="n">
        <x:v>188662</x:v>
      </x:c>
      <x:c r="C12" s="42" t="n">
        <x:v>113158.80482912809</x:v>
      </x:c>
      <x:c r="D12" s="42" t="n">
        <x:v>75503.19517087193</x:v>
      </x:c>
      <x:c r="E12" s="42" t="n">
        <x:v>75503.19517087191</x:v>
      </x:c>
      <x:c r="F12" s="27" t="n">
        <x:v>0.1</x:v>
      </x:c>
    </x:row>
    <x:row r="13">
      <x:c r="A13" s="27" t="str">
        <x:v>2024-10</x:v>
      </x:c>
      <x:c r="B13" s="42" t="n">
        <x:v>198184</x:v>
      </x:c>
      <x:c r="C13" s="42" t="n">
        <x:v>163800.39398282047</x:v>
      </x:c>
      <x:c r="D13" s="42" t="n">
        <x:v>34383.606017179525</x:v>
      </x:c>
      <x:c r="E13" s="42" t="n">
        <x:v>34383.606017179525</x:v>
      </x:c>
      <x:c r="F13" s="27" t="n">
        <x:v>0.1</x:v>
      </x:c>
    </x:row>
    <x:row r="14">
      <x:c r="A14" s="27" t="str">
        <x:v>2024-11</x:v>
      </x:c>
      <x:c r="B14" s="42" t="n">
        <x:v>192439</x:v>
      </x:c>
      <x:c r="C14" s="42" t="n">
        <x:v>187011.73651191712</x:v>
      </x:c>
      <x:c r="D14" s="42" t="n">
        <x:v>5427.263488082885</x:v>
      </x:c>
      <x:c r="E14" s="42" t="n">
        <x:v>5427.263488082885</x:v>
      </x:c>
      <x:c r="F14" s="27" t="n">
        <x:v>0.1</x:v>
      </x:c>
    </x:row>
    <x:row r="15">
      <x:c r="A15" s="27" t="str">
        <x:v>2024-12</x:v>
      </x:c>
      <x:c r="B15" s="42" t="n">
        <x:v>202449</x:v>
      </x:c>
      <x:c r="C15" s="42" t="n">
        <x:v>189793.94789762268</x:v>
      </x:c>
      <x:c r="D15" s="42" t="n">
        <x:v>12655.052102377318</x:v>
      </x:c>
      <x:c r="E15" s="42" t="n">
        <x:v>12655.052102377318</x:v>
      </x:c>
      <x:c r="F15" s="27" t="n">
        <x:v>0.1</x:v>
      </x:c>
    </x:row>
    <x:row r="16">
      <x:c r="A16" s="27" t="str">
        <x:v>2025-01</x:v>
      </x:c>
      <x:c r="B16" s="42" t="n">
        <x:v>81892</x:v>
      </x:c>
      <x:c r="C16" s="42" t="n">
        <x:v>129327.60677459616</x:v>
      </x:c>
      <x:c r="D16" s="42" t="n">
        <x:v>47435.60677459616</x:v>
      </x:c>
      <x:c r="E16" s="42" t="n">
        <x:v>-47435.60677459616</x:v>
      </x:c>
      <x:c r="F16" s="27" t="n">
        <x:v>0.1</x:v>
      </x:c>
    </x:row>
    <x:row r="17">
      <x:c r="A17" s="27" t="str">
        <x:v>2025-02</x:v>
      </x:c>
      <x:c r="B17" s="42" t="n">
        <x:v>83245</x:v>
      </x:c>
      <x:c r="C17" s="42" t="n">
        <x:v>89044.94832448507</x:v>
      </x:c>
      <x:c r="D17" s="42" t="n">
        <x:v>5799.948324485071</x:v>
      </x:c>
      <x:c r="E17" s="42" t="n">
        <x:v>-5799.948324485071</x:v>
      </x:c>
      <x:c r="F17" s="27" t="n">
        <x:v>0.1</x:v>
      </x:c>
    </x:row>
    <x:row r="18">
      <x:c r="A18" s="27" t="str">
        <x:v>2025-03</x:v>
      </x:c>
      <x:c r="B18" s="42" t="n">
        <x:v>176188</x:v>
      </x:c>
      <x:c r="C18" s="42" t="n">
        <x:v>192702.88072231627</x:v>
      </x:c>
      <x:c r="D18" s="42" t="n">
        <x:v>16514.880722316273</x:v>
      </x:c>
      <x:c r="E18" s="42" t="n">
        <x:v>-16514.880722316273</x:v>
      </x:c>
      <x:c r="F18" s="27" t="n">
        <x:v>0.1</x:v>
      </x:c>
    </x:row>
    <x:row r="19">
      <x:c r="A19" s="27" t="str">
        <x:v>2025-04</x:v>
      </x:c>
      <x:c r="B19" s="42" t="n">
        <x:v>173003</x:v>
      </x:c>
      <x:c r="C19" s="42" t="n">
        <x:v>171347.22785159078</x:v>
      </x:c>
      <x:c r="D19" s="42" t="n">
        <x:v>1655.772148409218</x:v>
      </x:c>
      <x:c r="E19" s="42" t="n">
        <x:v>1655.772148409218</x:v>
      </x:c>
      <x:c r="F19" s="27" t="n">
        <x:v>0.1</x:v>
      </x:c>
    </x:row>
    <x:row r="20">
      <x:c r="A20" s="27" t="str">
        <x:v>2025-05</x:v>
      </x:c>
      <x:c r="B20" s="42" t="n">
        <x:v>155462</x:v>
      </x:c>
      <x:c r="C20" s="42" t="n">
        <x:v>184204.7364096432</x:v>
      </x:c>
      <x:c r="D20" s="42" t="n">
        <x:v>28742.7364096432</x:v>
      </x:c>
      <x:c r="E20" s="42" t="n">
        <x:v>-28742.7364096432</x:v>
      </x:c>
      <x:c r="F20" s="27" t="n">
        <x:v>0.1</x:v>
      </x:c>
    </x:row>
    <x:row r="21">
      <x:c r="A21" s="27" t="str">
        <x:v>2025-10</x:v>
      </x:c>
      <x:c r="B21" s="42" t="n">
        <x:v>154238</x:v>
      </x:c>
      <x:c r="C21" s="42" t="n">
        <x:v>175341.6598577286</x:v>
      </x:c>
      <x:c r="D21" s="42" t="n">
        <x:v>21103.65985772861</x:v>
      </x:c>
      <x:c r="E21" s="42" t="n">
        <x:v>-21103.659857728606</x:v>
      </x:c>
      <x:c r="F21" s="27" t="n">
        <x:v>0.1</x:v>
      </x:c>
    </x:row>
    <x:row r="22">
      <x:c r="A22" s="27" t="str">
        <x:v>2025-11</x:v>
      </x:c>
      <x:c r="B22" s="42" t="n">
        <x:v>166729</x:v>
      </x:c>
      <x:c r="C22" s="42" t="n">
        <x:v>184199.167119848</x:v>
      </x:c>
      <x:c r="D22" s="42" t="n">
        <x:v>17470.167119848018</x:v>
      </x:c>
      <x:c r="E22" s="42" t="n">
        <x:v>-17470.16711984799</x:v>
      </x:c>
      <x:c r="F22" s="27" t="n">
        <x:v>0.1</x:v>
      </x:c>
    </x:row>
    <x:row r="23">
      <x:c r="A23" s="27" t="str">
        <x:v>2025-12</x:v>
      </x:c>
      <x:c r="B23" s="42" t="n">
        <x:v>177761</x:v>
      </x:c>
      <x:c r="C23" s="42" t="n">
        <x:v>182573.55112476056</x:v>
      </x:c>
      <x:c r="D23" s="42" t="n">
        <x:v>4812.551124760561</x:v>
      </x:c>
      <x:c r="E23" s="42" t="n">
        <x:v>-4812.551124760561</x:v>
      </x:c>
      <x:c r="F23" s="27" t="n">
        <x:v>0.1</x:v>
      </x:c>
    </x:row>
    <x:row r="24">
      <x:c r="A24" s="27" t="str">
        <x:v>2026-01</x:v>
      </x:c>
      <x:c r="B24" s="42" t="n">
        <x:v>94718</x:v>
      </x:c>
      <x:c r="C24" s="42" t="n">
        <x:v>114916.28146646044</x:v>
      </x:c>
      <x:c r="D24" s="42" t="n">
        <x:v>20198.28146646044</x:v>
      </x:c>
      <x:c r="E24" s="42" t="n">
        <x:v>-20198.281466460438</x:v>
      </x:c>
      <x:c r="F24" s="27" t="n">
        <x:v>0.1</x:v>
      </x:c>
    </x:row>
    <x:row r="25">
      <x:c r="A25" s="27" t="str">
        <x:v>2026-02</x:v>
      </x:c>
      <x:c r="B25" s="42" t="n">
        <x:v>40735</x:v>
      </x:c>
      <x:c r="C25" s="42" t="n">
        <x:v>85052.05207348408</x:v>
      </x:c>
      <x:c r="D25" s="42" t="n">
        <x:v>44317.05207348408</x:v>
      </x:c>
      <x:c r="E25" s="42" t="n">
        <x:v>-44317.05207348408</x:v>
      </x:c>
      <x:c r="F25" s="27" t="n">
        <x:v>0.1</x:v>
      </x:c>
    </x:row>
    <x:row r="26">
      <x:c r="A26" s="27" t="str">
        <x:v>2026-03</x:v>
      </x:c>
      <x:c r="B26" s="42" t="n">
        <x:v>141303</x:v>
      </x:c>
      <x:c r="C26" s="42" t="n">
        <x:v>186427.19310136177</x:v>
      </x:c>
      <x:c r="D26" s="42" t="n">
        <x:v>45124.19310136177</x:v>
      </x:c>
      <x:c r="E26" s="42" t="n">
        <x:v>-45124.19310136177</x:v>
      </x:c>
      <x:c r="F26" s="27" t="n">
        <x:v>0.1</x:v>
      </x:c>
    </x:row>
    <x:row r="27">
      <x:c r="A27" s="27" t="str">
        <x:v>2026-04</x:v>
      </x:c>
      <x:c r="B27" s="42" t="n">
        <x:v>141669</x:v>
      </x:c>
      <x:c r="C27" s="42" t="n">
        <x:v>164629.89600544458</x:v>
      </x:c>
      <x:c r="D27" s="42" t="n">
        <x:v>22960.896005444574</x:v>
      </x:c>
      <x:c r="E27" s="42" t="n">
        <x:v>-22960.896005444578</x:v>
      </x:c>
      <x:c r="F27" s="27" t="n">
        <x:v>0.1</x:v>
      </x:c>
    </x:row>
    <x:row r="28">
      <x:c r="A28" s="27" t="str">
        <x:v>2026-05</x:v>
      </x:c>
      <x:c r="B28" s="42" t="n">
        <x:v>173649</x:v>
      </x:c>
      <x:c r="C28" s="42" t="n">
        <x:v>167295.61203573245</x:v>
      </x:c>
      <x:c r="D28" s="42" t="n">
        <x:v>6353.387964267575</x:v>
      </x:c>
      <x:c r="E28" s="42" t="n">
        <x:v>6353.387964267546</x:v>
      </x:c>
      <x:c r="F28" s="27" t="n">
        <x:v>0.1</x:v>
      </x:c>
    </x:row>
    <x:row r="29">
      <x:c r="A29" s="28" t="str">
        <x:v>2026-06</x:v>
      </x:c>
      <x:c r="B29" s="43" t="n">
        <x:v>146696</x:v>
      </x:c>
      <x:c r="C29" s="43" t="n">
        <x:v>136822.1233405412</x:v>
      </x:c>
      <x:c r="D29" s="43" t="n">
        <x:v>9873.876659458794</x:v>
      </x:c>
      <x:c r="E29" s="43" t="n">
        <x:v>9873.876659458794</x:v>
      </x:c>
      <x:c r="F29" s="28" t="n">
        <x:v>0.1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126d41df9642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5" hidden="0" customWidth="1"/>
    <x:col min="5" max="5" width="10" hidden="0" customWidth="1"/>
    <x:col min="6" max="6" width="17" hidden="0" customWidth="1"/>
    <x:col min="7" max="7" width="18" hidden="0" customWidth="1"/>
  </x:cols>
  <x:sheetData>
    <x:row r="1" ht="32" customHeight="1">
      <x:c r="A1" s="3" t="str">
        <x:v>現有冷氣清冊彙整</x:v>
      </x:c>
      <x:c r="B1" s="3"/>
      <x:c r="C1" s="3"/>
      <x:c r="D1" s="3"/>
      <x:c r="E1" s="3"/>
      <x:c r="F1" s="3"/>
      <x:c r="G1" s="3"/>
    </x:row>
    <x:row r="2" ht="36" customHeight="1">
      <x:c r="A2" s="7" t="str">
        <x:v>依館別、廠牌、型號族群與購置年代彙整；不含房號、財產編號、使用人姓名與使用人代號。 </x:v>
      </x:c>
      <x:c r="B2" s="7"/>
      <x:c r="C2" s="7"/>
      <x:c r="D2" s="7"/>
      <x:c r="E2" s="7"/>
      <x:c r="F2" s="7"/>
      <x:c r="G2" s="7"/>
    </x:row>
    <x:row r="3">
      <x:c r="A3" s="60"/>
      <x:c r="B3" s="60"/>
      <x:c r="C3" s="60"/>
      <x:c r="D3" s="60"/>
      <x:c r="E3" s="60"/>
      <x:c r="F3" s="60"/>
      <x:c r="G3" s="60"/>
    </x:row>
    <x:row r="4">
      <x:c r="A4" s="60"/>
      <x:c r="B4" s="60"/>
      <x:c r="C4" s="60"/>
      <x:c r="D4" s="60"/>
      <x:c r="E4" s="60"/>
      <x:c r="F4" s="60"/>
      <x:c r="G4" s="60"/>
    </x:row>
    <x:row r="5" ht="34" customHeight="1">
      <x:c r="A5" s="19" t="str">
        <x:v>館別</x:v>
      </x:c>
      <x:c r="B5" s="20" t="str">
        <x:v>廠牌</x:v>
      </x:c>
      <x:c r="C5" s="20" t="str">
        <x:v>型號族群</x:v>
      </x:c>
      <x:c r="D5" s="20" t="str">
        <x:v>購置年代</x:v>
      </x:c>
      <x:c r="E5" s="20" t="str">
        <x:v>台數</x:v>
      </x:c>
      <x:c r="F5" s="20" t="str">
        <x:v>機齡中位數_年</x:v>
      </x:c>
      <x:c r="G5" s="21" t="str">
        <x:v>購置日期缺漏數</x:v>
      </x:c>
    </x:row>
    <x:row r="6">
      <x:c r="A6" s="26" t="str">
        <x:v>松濤一館</x:v>
      </x:c>
      <x:c r="B6" s="26" t="str">
        <x:v>大金</x:v>
      </x:c>
      <x:c r="C6" s="26" t="str">
        <x:v>FTX25JVET</x:v>
      </x:c>
      <x:c r="D6" s="26" t="str">
        <x:v>2000–2009</x:v>
      </x:c>
      <x:c r="E6" s="47" t="n">
        <x:v>99</x:v>
      </x:c>
      <x:c r="F6" s="44" t="n">
        <x:v>23.15</x:v>
      </x:c>
      <x:c r="G6" s="26" t="n">
        <x:v>0</x:v>
      </x:c>
    </x:row>
    <x:row r="7">
      <x:c r="A7" s="27" t="str">
        <x:v>松濤一館</x:v>
      </x:c>
      <x:c r="B7" s="27" t="str">
        <x:v>大金</x:v>
      </x:c>
      <x:c r="C7" s="27" t="str">
        <x:v>FTX35JVET</x:v>
      </x:c>
      <x:c r="D7" s="27" t="str">
        <x:v>2000–2009</x:v>
      </x:c>
      <x:c r="E7" s="48" t="n">
        <x:v>11</x:v>
      </x:c>
      <x:c r="F7" s="45" t="n">
        <x:v>23.15</x:v>
      </x:c>
      <x:c r="G7" s="27" t="n">
        <x:v>0</x:v>
      </x:c>
    </x:row>
    <x:row r="8">
      <x:c r="A8" s="27" t="str">
        <x:v>松濤一館</x:v>
      </x:c>
      <x:c r="B8" s="27" t="str">
        <x:v>日立</x:v>
      </x:c>
      <x:c r="C8" s="27" t="str">
        <x:v>RAS-28JK</x:v>
      </x:c>
      <x:c r="D8" s="27" t="str">
        <x:v>2010–2019</x:v>
      </x:c>
      <x:c r="E8" s="48" t="n">
        <x:v>11</x:v>
      </x:c>
      <x:c r="F8" s="45" t="n">
        <x:v>8.11</x:v>
      </x:c>
      <x:c r="G8" s="27" t="n">
        <x:v>0</x:v>
      </x:c>
    </x:row>
    <x:row r="9">
      <x:c r="A9" s="27" t="str">
        <x:v>松濤一館</x:v>
      </x:c>
      <x:c r="B9" s="27" t="str">
        <x:v>日立</x:v>
      </x:c>
      <x:c r="C9" s="27" t="str">
        <x:v>RAS-36YSP</x:v>
      </x:c>
      <x:c r="D9" s="27" t="str">
        <x:v>2020–2029</x:v>
      </x:c>
      <x:c r="E9" s="48" t="n">
        <x:v>7</x:v>
      </x:c>
      <x:c r="F9" s="45" t="n">
        <x:v>0.62</x:v>
      </x:c>
      <x:c r="G9" s="27" t="n">
        <x:v>0</x:v>
      </x:c>
    </x:row>
    <x:row r="10">
      <x:c r="A10" s="27" t="str">
        <x:v>松濤一館</x:v>
      </x:c>
      <x:c r="B10" s="27" t="str">
        <x:v>日立</x:v>
      </x:c>
      <x:c r="C10" s="27" t="str">
        <x:v>RAS-36YSK</x:v>
      </x:c>
      <x:c r="D10" s="27" t="str">
        <x:v>2020–2029</x:v>
      </x:c>
      <x:c r="E10" s="48" t="n">
        <x:v>6</x:v>
      </x:c>
      <x:c r="F10" s="45" t="n">
        <x:v>3.845</x:v>
      </x:c>
      <x:c r="G10" s="27" t="n">
        <x:v>0</x:v>
      </x:c>
    </x:row>
    <x:row r="11">
      <x:c r="A11" s="27" t="str">
        <x:v>松濤一館</x:v>
      </x:c>
      <x:c r="B11" s="27" t="str">
        <x:v>日立</x:v>
      </x:c>
      <x:c r="C11" s="27" t="str">
        <x:v>RAS-28JB</x:v>
      </x:c>
      <x:c r="D11" s="27" t="str">
        <x:v>2010–2019</x:v>
      </x:c>
      <x:c r="E11" s="48" t="n">
        <x:v>5</x:v>
      </x:c>
      <x:c r="F11" s="45" t="n">
        <x:v>10.71</x:v>
      </x:c>
      <x:c r="G11" s="27" t="n">
        <x:v>0</x:v>
      </x:c>
    </x:row>
    <x:row r="12">
      <x:c r="A12" s="27" t="str">
        <x:v>松濤一館</x:v>
      </x:c>
      <x:c r="B12" s="27" t="str">
        <x:v>日立</x:v>
      </x:c>
      <x:c r="C12" s="27" t="str">
        <x:v>RAS-40JK</x:v>
      </x:c>
      <x:c r="D12" s="27" t="str">
        <x:v>2010–2019</x:v>
      </x:c>
      <x:c r="E12" s="48" t="n">
        <x:v>5</x:v>
      </x:c>
      <x:c r="F12" s="45" t="n">
        <x:v>8.6</x:v>
      </x:c>
      <x:c r="G12" s="27" t="n">
        <x:v>0</x:v>
      </x:c>
    </x:row>
    <x:row r="13">
      <x:c r="A13" s="27" t="str">
        <x:v>松濤一館</x:v>
      </x:c>
      <x:c r="B13" s="27" t="str">
        <x:v>日立</x:v>
      </x:c>
      <x:c r="C13" s="27" t="str">
        <x:v>RAS-40YSP</x:v>
      </x:c>
      <x:c r="D13" s="27" t="str">
        <x:v>2020–2029</x:v>
      </x:c>
      <x:c r="E13" s="48" t="n">
        <x:v>5</x:v>
      </x:c>
      <x:c r="F13" s="45" t="n">
        <x:v>0.86</x:v>
      </x:c>
      <x:c r="G13" s="27" t="n">
        <x:v>0</x:v>
      </x:c>
    </x:row>
    <x:row r="14">
      <x:c r="A14" s="27" t="str">
        <x:v>松濤一館</x:v>
      </x:c>
      <x:c r="B14" s="27" t="str">
        <x:v>日立</x:v>
      </x:c>
      <x:c r="C14" s="27" t="str">
        <x:v>RAS-28JKI</x:v>
      </x:c>
      <x:c r="D14" s="27" t="str">
        <x:v>2010–2019</x:v>
      </x:c>
      <x:c r="E14" s="48" t="n">
        <x:v>4</x:v>
      </x:c>
      <x:c r="F14" s="45" t="n">
        <x:v>6.64</x:v>
      </x:c>
      <x:c r="G14" s="27" t="n">
        <x:v>0</x:v>
      </x:c>
    </x:row>
    <x:row r="15">
      <x:c r="A15" s="27" t="str">
        <x:v>松濤一館</x:v>
      </x:c>
      <x:c r="B15" s="27" t="str">
        <x:v>日立</x:v>
      </x:c>
      <x:c r="C15" s="27" t="str">
        <x:v>RAS-28SK1</x:v>
      </x:c>
      <x:c r="D15" s="27" t="str">
        <x:v>2020–2029</x:v>
      </x:c>
      <x:c r="E15" s="48" t="n">
        <x:v>3</x:v>
      </x:c>
      <x:c r="F15" s="45" t="n">
        <x:v>5.07</x:v>
      </x:c>
      <x:c r="G15" s="27" t="n">
        <x:v>0</x:v>
      </x:c>
    </x:row>
    <x:row r="16">
      <x:c r="A16" s="27" t="str">
        <x:v>松濤一館</x:v>
      </x:c>
      <x:c r="B16" s="27" t="str">
        <x:v>日立</x:v>
      </x:c>
      <x:c r="C16" s="27" t="str">
        <x:v>RAS-36SK1</x:v>
      </x:c>
      <x:c r="D16" s="27" t="str">
        <x:v>2020–2029</x:v>
      </x:c>
      <x:c r="E16" s="48" t="n">
        <x:v>3</x:v>
      </x:c>
      <x:c r="F16" s="45" t="n">
        <x:v>4.42</x:v>
      </x:c>
      <x:c r="G16" s="27" t="n">
        <x:v>0</x:v>
      </x:c>
    </x:row>
    <x:row r="17">
      <x:c r="A17" s="27" t="str">
        <x:v>松濤一館</x:v>
      </x:c>
      <x:c r="B17" s="27" t="str">
        <x:v>日立</x:v>
      </x:c>
      <x:c r="C17" s="27" t="str">
        <x:v>4.1KW</x:v>
      </x:c>
      <x:c r="D17" s="27" t="str">
        <x:v>2010–2019</x:v>
      </x:c>
      <x:c r="E17" s="48" t="n">
        <x:v>2</x:v>
      </x:c>
      <x:c r="F17" s="45" t="n">
        <x:v>12.04</x:v>
      </x:c>
      <x:c r="G17" s="27" t="n">
        <x:v>0</x:v>
      </x:c>
    </x:row>
    <x:row r="18">
      <x:c r="A18" s="27" t="str">
        <x:v>松濤一館</x:v>
      </x:c>
      <x:c r="B18" s="27" t="str">
        <x:v>日立</x:v>
      </x:c>
      <x:c r="C18" s="27" t="str">
        <x:v>RAS-28JKI</x:v>
      </x:c>
      <x:c r="D18" s="27" t="str">
        <x:v>2020–2029</x:v>
      </x:c>
      <x:c r="E18" s="48" t="n">
        <x:v>2</x:v>
      </x:c>
      <x:c r="F18" s="45" t="n">
        <x:v>5.74</x:v>
      </x:c>
      <x:c r="G18" s="27" t="n">
        <x:v>0</x:v>
      </x:c>
    </x:row>
    <x:row r="19">
      <x:c r="A19" s="27" t="str">
        <x:v>松濤一館</x:v>
      </x:c>
      <x:c r="B19" s="27" t="str">
        <x:v>日立</x:v>
      </x:c>
      <x:c r="C19" s="27" t="str">
        <x:v>RAS-40SK1</x:v>
      </x:c>
      <x:c r="D19" s="27" t="str">
        <x:v>2020–2029</x:v>
      </x:c>
      <x:c r="E19" s="48" t="n">
        <x:v>2</x:v>
      </x:c>
      <x:c r="F19" s="45" t="n">
        <x:v>4.42</x:v>
      </x:c>
      <x:c r="G19" s="27" t="n">
        <x:v>0</x:v>
      </x:c>
    </x:row>
    <x:row r="20">
      <x:c r="A20" s="27" t="str">
        <x:v>松濤一館</x:v>
      </x:c>
      <x:c r="B20" s="27" t="str">
        <x:v>日立</x:v>
      </x:c>
      <x:c r="C20" s="27" t="str">
        <x:v>RAS-28JK1</x:v>
      </x:c>
      <x:c r="D20" s="27" t="str">
        <x:v>2010–2019</x:v>
      </x:c>
      <x:c r="E20" s="48" t="n">
        <x:v>1</x:v>
      </x:c>
      <x:c r="F20" s="45" t="n">
        <x:v>7.04</x:v>
      </x:c>
      <x:c r="G20" s="27" t="n">
        <x:v>0</x:v>
      </x:c>
    </x:row>
    <x:row r="21">
      <x:c r="A21" s="27" t="str">
        <x:v>松濤一館</x:v>
      </x:c>
      <x:c r="B21" s="27" t="str">
        <x:v>日立</x:v>
      </x:c>
      <x:c r="C21" s="27" t="str">
        <x:v>RAS-28QK</x:v>
      </x:c>
      <x:c r="D21" s="27" t="str">
        <x:v>2010–2019</x:v>
      </x:c>
      <x:c r="E21" s="48" t="n">
        <x:v>1</x:v>
      </x:c>
      <x:c r="F21" s="45" t="n">
        <x:v>9.56</x:v>
      </x:c>
      <x:c r="G21" s="27" t="n">
        <x:v>0</x:v>
      </x:c>
    </x:row>
    <x:row r="22">
      <x:c r="A22" s="27" t="str">
        <x:v>松濤一館</x:v>
      </x:c>
      <x:c r="B22" s="27" t="str">
        <x:v>日立</x:v>
      </x:c>
      <x:c r="C22" s="27" t="str">
        <x:v>RAS-28SKI</x:v>
      </x:c>
      <x:c r="D22" s="27" t="str">
        <x:v>2020–2029</x:v>
      </x:c>
      <x:c r="E22" s="48" t="n">
        <x:v>1</x:v>
      </x:c>
      <x:c r="F22" s="45" t="n">
        <x:v>5.29</x:v>
      </x:c>
      <x:c r="G22" s="27" t="n">
        <x:v>0</x:v>
      </x:c>
    </x:row>
    <x:row r="23">
      <x:c r="A23" s="27" t="str">
        <x:v>松濤一館</x:v>
      </x:c>
      <x:c r="B23" s="27" t="str">
        <x:v>日立</x:v>
      </x:c>
      <x:c r="C23" s="27" t="str">
        <x:v>RAS-40JB</x:v>
      </x:c>
      <x:c r="D23" s="27" t="str">
        <x:v>2010–2019</x:v>
      </x:c>
      <x:c r="E23" s="48" t="n">
        <x:v>1</x:v>
      </x:c>
      <x:c r="F23" s="45" t="n">
        <x:v>9.56</x:v>
      </x:c>
      <x:c r="G23" s="27" t="n">
        <x:v>0</x:v>
      </x:c>
    </x:row>
    <x:row r="24">
      <x:c r="A24" s="27" t="str">
        <x:v>松濤一館</x:v>
      </x:c>
      <x:c r="B24" s="27" t="str">
        <x:v>日立</x:v>
      </x:c>
      <x:c r="C24" s="27" t="str">
        <x:v>RAS-40JK</x:v>
      </x:c>
      <x:c r="D24" s="27" t="str">
        <x:v>2020–2029</x:v>
      </x:c>
      <x:c r="E24" s="48" t="n">
        <x:v>1</x:v>
      </x:c>
      <x:c r="F24" s="45" t="n">
        <x:v>6.06</x:v>
      </x:c>
      <x:c r="G24" s="27" t="n">
        <x:v>0</x:v>
      </x:c>
    </x:row>
    <x:row r="25">
      <x:c r="A25" s="27" t="str">
        <x:v>松濤一館</x:v>
      </x:c>
      <x:c r="B25" s="27" t="str">
        <x:v>日立</x:v>
      </x:c>
      <x:c r="C25" s="27" t="str">
        <x:v>RAS-40YSK</x:v>
      </x:c>
      <x:c r="D25" s="27" t="str">
        <x:v>2020–2029</x:v>
      </x:c>
      <x:c r="E25" s="48" t="n">
        <x:v>1</x:v>
      </x:c>
      <x:c r="F25" s="45" t="n">
        <x:v>3.06</x:v>
      </x:c>
      <x:c r="G25" s="27" t="n">
        <x:v>0</x:v>
      </x:c>
    </x:row>
    <x:row r="26">
      <x:c r="A26" s="27" t="str">
        <x:v>松濤三館</x:v>
      </x:c>
      <x:c r="B26" s="27" t="str">
        <x:v>大金</x:v>
      </x:c>
      <x:c r="C26" s="27" t="str">
        <x:v>FTX25JVET</x:v>
      </x:c>
      <x:c r="D26" s="27" t="str">
        <x:v>2000–2009</x:v>
      </x:c>
      <x:c r="E26" s="48" t="n">
        <x:v>57</x:v>
      </x:c>
      <x:c r="F26" s="45" t="n">
        <x:v>23.15</x:v>
      </x:c>
      <x:c r="G26" s="27" t="n">
        <x:v>0</x:v>
      </x:c>
    </x:row>
    <x:row r="27">
      <x:c r="A27" s="27" t="str">
        <x:v>松濤三館</x:v>
      </x:c>
      <x:c r="B27" s="27" t="str">
        <x:v>日立</x:v>
      </x:c>
      <x:c r="C27" s="27" t="str">
        <x:v>RAS-36YSP</x:v>
      </x:c>
      <x:c r="D27" s="27" t="str">
        <x:v>2020–2029</x:v>
      </x:c>
      <x:c r="E27" s="48" t="n">
        <x:v>21</x:v>
      </x:c>
      <x:c r="F27" s="45" t="n">
        <x:v>0.86</x:v>
      </x:c>
      <x:c r="G27" s="27" t="n">
        <x:v>0</x:v>
      </x:c>
    </x:row>
    <x:row r="28">
      <x:c r="A28" s="27" t="str">
        <x:v>松濤三館</x:v>
      </x:c>
      <x:c r="B28" s="27" t="str">
        <x:v>日立</x:v>
      </x:c>
      <x:c r="C28" s="27" t="str">
        <x:v>RAS-28JK</x:v>
      </x:c>
      <x:c r="D28" s="27" t="str">
        <x:v>2010–2019</x:v>
      </x:c>
      <x:c r="E28" s="48" t="n">
        <x:v>20</x:v>
      </x:c>
      <x:c r="F28" s="45" t="n">
        <x:v>8.11</x:v>
      </x:c>
      <x:c r="G28" s="27" t="n">
        <x:v>0</x:v>
      </x:c>
    </x:row>
    <x:row r="29">
      <x:c r="A29" s="27" t="str">
        <x:v>松濤三館</x:v>
      </x:c>
      <x:c r="B29" s="27" t="str">
        <x:v>日立</x:v>
      </x:c>
      <x:c r="C29" s="27" t="str">
        <x:v>RAS-36YSK</x:v>
      </x:c>
      <x:c r="D29" s="27" t="str">
        <x:v>2020–2029</x:v>
      </x:c>
      <x:c r="E29" s="48" t="n">
        <x:v>11</x:v>
      </x:c>
      <x:c r="F29" s="45" t="n">
        <x:v>3.06</x:v>
      </x:c>
      <x:c r="G29" s="27" t="n">
        <x:v>0</x:v>
      </x:c>
    </x:row>
    <x:row r="30">
      <x:c r="A30" s="27" t="str">
        <x:v>松濤三館</x:v>
      </x:c>
      <x:c r="B30" s="27" t="str">
        <x:v>大金</x:v>
      </x:c>
      <x:c r="C30" s="27" t="str">
        <x:v>FTX35JVET</x:v>
      </x:c>
      <x:c r="D30" s="27" t="str">
        <x:v>2000–2009</x:v>
      </x:c>
      <x:c r="E30" s="48" t="n">
        <x:v>8</x:v>
      </x:c>
      <x:c r="F30" s="45" t="n">
        <x:v>23.15</x:v>
      </x:c>
      <x:c r="G30" s="27" t="n">
        <x:v>0</x:v>
      </x:c>
    </x:row>
    <x:row r="31">
      <x:c r="A31" s="27" t="str">
        <x:v>松濤三館</x:v>
      </x:c>
      <x:c r="B31" s="27" t="str">
        <x:v>萬士益</x:v>
      </x:c>
      <x:c r="C31" s="27" t="str">
        <x:v>ME140PH32</x:v>
      </x:c>
      <x:c r="D31" s="27" t="str">
        <x:v>2020–2029</x:v>
      </x:c>
      <x:c r="E31" s="48" t="n">
        <x:v>8</x:v>
      </x:c>
      <x:c r="F31" s="45" t="n">
        <x:v>2.86</x:v>
      </x:c>
      <x:c r="G31" s="27" t="n">
        <x:v>0</x:v>
      </x:c>
    </x:row>
    <x:row r="32">
      <x:c r="A32" s="27" t="str">
        <x:v>松濤三館</x:v>
      </x:c>
      <x:c r="B32" s="27" t="str">
        <x:v>日立</x:v>
      </x:c>
      <x:c r="C32" s="27" t="str">
        <x:v>RAS-28JB</x:v>
      </x:c>
      <x:c r="D32" s="27" t="str">
        <x:v>2010–2019</x:v>
      </x:c>
      <x:c r="E32" s="48" t="n">
        <x:v>7</x:v>
      </x:c>
      <x:c r="F32" s="45" t="n">
        <x:v>10.04</x:v>
      </x:c>
      <x:c r="G32" s="27" t="n">
        <x:v>0</x:v>
      </x:c>
    </x:row>
    <x:row r="33">
      <x:c r="A33" s="27" t="str">
        <x:v>松濤三館</x:v>
      </x:c>
      <x:c r="B33" s="27" t="str">
        <x:v>日立</x:v>
      </x:c>
      <x:c r="C33" s="27" t="str">
        <x:v>RAS-40JK</x:v>
      </x:c>
      <x:c r="D33" s="27" t="str">
        <x:v>2010–2019</x:v>
      </x:c>
      <x:c r="E33" s="48" t="n">
        <x:v>7</x:v>
      </x:c>
      <x:c r="F33" s="45" t="n">
        <x:v>8.04</x:v>
      </x:c>
      <x:c r="G33" s="27" t="n">
        <x:v>0</x:v>
      </x:c>
    </x:row>
    <x:row r="34">
      <x:c r="A34" s="27" t="str">
        <x:v>松濤三館</x:v>
      </x:c>
      <x:c r="B34" s="27" t="str">
        <x:v>日立</x:v>
      </x:c>
      <x:c r="C34" s="27" t="str">
        <x:v>RAS-40JK</x:v>
      </x:c>
      <x:c r="D34" s="27" t="str">
        <x:v>2020–2029</x:v>
      </x:c>
      <x:c r="E34" s="48" t="n">
        <x:v>7</x:v>
      </x:c>
      <x:c r="F34" s="45" t="n">
        <x:v>6.03</x:v>
      </x:c>
      <x:c r="G34" s="27" t="n">
        <x:v>0</x:v>
      </x:c>
    </x:row>
    <x:row r="35">
      <x:c r="A35" s="27" t="str">
        <x:v>松濤三館</x:v>
      </x:c>
      <x:c r="B35" s="27" t="str">
        <x:v>日立</x:v>
      </x:c>
      <x:c r="C35" s="27" t="str">
        <x:v>RAS-28JKI</x:v>
      </x:c>
      <x:c r="D35" s="27" t="str">
        <x:v>2020–2029</x:v>
      </x:c>
      <x:c r="E35" s="48" t="n">
        <x:v>6</x:v>
      </x:c>
      <x:c r="F35" s="45" t="n">
        <x:v>5.74</x:v>
      </x:c>
      <x:c r="G35" s="27" t="n">
        <x:v>0</x:v>
      </x:c>
    </x:row>
    <x:row r="36">
      <x:c r="A36" s="27" t="str">
        <x:v>松濤三館</x:v>
      </x:c>
      <x:c r="B36" s="27" t="str">
        <x:v>日立</x:v>
      </x:c>
      <x:c r="C36" s="27" t="str">
        <x:v>RAS-28JKI</x:v>
      </x:c>
      <x:c r="D36" s="27" t="str">
        <x:v>2010–2019</x:v>
      </x:c>
      <x:c r="E36" s="48" t="n">
        <x:v>5</x:v>
      </x:c>
      <x:c r="F36" s="45" t="n">
        <x:v>6.64</x:v>
      </x:c>
      <x:c r="G36" s="27" t="n">
        <x:v>0</x:v>
      </x:c>
    </x:row>
    <x:row r="37">
      <x:c r="A37" s="27" t="str">
        <x:v>松濤三館</x:v>
      </x:c>
      <x:c r="B37" s="27" t="str">
        <x:v>日立</x:v>
      </x:c>
      <x:c r="C37" s="27" t="str">
        <x:v>RAS-36SK1</x:v>
      </x:c>
      <x:c r="D37" s="27" t="str">
        <x:v>2020–2029</x:v>
      </x:c>
      <x:c r="E37" s="48" t="n">
        <x:v>5</x:v>
      </x:c>
      <x:c r="F37" s="45" t="n">
        <x:v>4.42</x:v>
      </x:c>
      <x:c r="G37" s="27" t="n">
        <x:v>0</x:v>
      </x:c>
    </x:row>
    <x:row r="38">
      <x:c r="A38" s="27" t="str">
        <x:v>松濤三館</x:v>
      </x:c>
      <x:c r="B38" s="27" t="str">
        <x:v>日立</x:v>
      </x:c>
      <x:c r="C38" s="27" t="str">
        <x:v>RAS-40YSK</x:v>
      </x:c>
      <x:c r="D38" s="27" t="str">
        <x:v>2020–2029</x:v>
      </x:c>
      <x:c r="E38" s="48" t="n">
        <x:v>5</x:v>
      </x:c>
      <x:c r="F38" s="45" t="n">
        <x:v>3.58</x:v>
      </x:c>
      <x:c r="G38" s="27" t="n">
        <x:v>0</x:v>
      </x:c>
    </x:row>
    <x:row r="39">
      <x:c r="A39" s="27" t="str">
        <x:v>松濤三館</x:v>
      </x:c>
      <x:c r="B39" s="27" t="str">
        <x:v>日立</x:v>
      </x:c>
      <x:c r="C39" s="27" t="str">
        <x:v>RAS-40YSP</x:v>
      </x:c>
      <x:c r="D39" s="27" t="str">
        <x:v>2020–2029</x:v>
      </x:c>
      <x:c r="E39" s="48" t="n">
        <x:v>5</x:v>
      </x:c>
      <x:c r="F39" s="45" t="n">
        <x:v>1.62</x:v>
      </x:c>
      <x:c r="G39" s="27" t="n">
        <x:v>0</x:v>
      </x:c>
    </x:row>
    <x:row r="40">
      <x:c r="A40" s="27" t="str">
        <x:v>松濤三館</x:v>
      </x:c>
      <x:c r="B40" s="27" t="str">
        <x:v>日立</x:v>
      </x:c>
      <x:c r="C40" s="27" t="str">
        <x:v>RAS-28SK1</x:v>
      </x:c>
      <x:c r="D40" s="27" t="str">
        <x:v>2020–2029</x:v>
      </x:c>
      <x:c r="E40" s="48" t="n">
        <x:v>3</x:v>
      </x:c>
      <x:c r="F40" s="45" t="n">
        <x:v>5.07</x:v>
      </x:c>
      <x:c r="G40" s="27" t="n">
        <x:v>0</x:v>
      </x:c>
    </x:row>
    <x:row r="41">
      <x:c r="A41" s="27" t="str">
        <x:v>松濤三館</x:v>
      </x:c>
      <x:c r="B41" s="27" t="str">
        <x:v>日立</x:v>
      </x:c>
      <x:c r="C41" s="27" t="str">
        <x:v>RAS-28SKI</x:v>
      </x:c>
      <x:c r="D41" s="27" t="str">
        <x:v>2020–2029</x:v>
      </x:c>
      <x:c r="E41" s="48" t="n">
        <x:v>3</x:v>
      </x:c>
      <x:c r="F41" s="45" t="n">
        <x:v>5.29</x:v>
      </x:c>
      <x:c r="G41" s="27" t="n">
        <x:v>0</x:v>
      </x:c>
    </x:row>
    <x:row r="42">
      <x:c r="A42" s="27" t="str">
        <x:v>松濤三館</x:v>
      </x:c>
      <x:c r="B42" s="27" t="str">
        <x:v>日立</x:v>
      </x:c>
      <x:c r="C42" s="27" t="str">
        <x:v>RAS-28JK1</x:v>
      </x:c>
      <x:c r="D42" s="27" t="str">
        <x:v>2010–2019</x:v>
      </x:c>
      <x:c r="E42" s="48" t="n">
        <x:v>2</x:v>
      </x:c>
      <x:c r="F42" s="45" t="n">
        <x:v>7.04</x:v>
      </x:c>
      <x:c r="G42" s="27" t="n">
        <x:v>0</x:v>
      </x:c>
    </x:row>
    <x:row r="43">
      <x:c r="A43" s="27" t="str">
        <x:v>松濤三館</x:v>
      </x:c>
      <x:c r="B43" s="27" t="str">
        <x:v>日立</x:v>
      </x:c>
      <x:c r="C43" s="27" t="str">
        <x:v>RAS-28JK1</x:v>
      </x:c>
      <x:c r="D43" s="27" t="str">
        <x:v>2020–2029</x:v>
      </x:c>
      <x:c r="E43" s="48" t="n">
        <x:v>2</x:v>
      </x:c>
      <x:c r="F43" s="45" t="n">
        <x:v>6.03</x:v>
      </x:c>
      <x:c r="G43" s="27" t="n">
        <x:v>0</x:v>
      </x:c>
    </x:row>
    <x:row r="44">
      <x:c r="A44" s="27" t="str">
        <x:v>松濤三館</x:v>
      </x:c>
      <x:c r="B44" s="27" t="str">
        <x:v>日立</x:v>
      </x:c>
      <x:c r="C44" s="27" t="str">
        <x:v>RAS-28QK</x:v>
      </x:c>
      <x:c r="D44" s="27" t="str">
        <x:v>2010–2019</x:v>
      </x:c>
      <x:c r="E44" s="48" t="n">
        <x:v>2</x:v>
      </x:c>
      <x:c r="F44" s="45" t="n">
        <x:v>9.56</x:v>
      </x:c>
      <x:c r="G44" s="27" t="n">
        <x:v>0</x:v>
      </x:c>
    </x:row>
    <x:row r="45">
      <x:c r="A45" s="27" t="str">
        <x:v>松濤三館</x:v>
      </x:c>
      <x:c r="B45" s="27" t="str">
        <x:v>日立</x:v>
      </x:c>
      <x:c r="C45" s="27" t="str">
        <x:v>RAS-28YSK</x:v>
      </x:c>
      <x:c r="D45" s="27" t="str">
        <x:v>2020–2029</x:v>
      </x:c>
      <x:c r="E45" s="48" t="n">
        <x:v>1</x:v>
      </x:c>
      <x:c r="F45" s="45" t="n">
        <x:v>3.65</x:v>
      </x:c>
      <x:c r="G45" s="27" t="n">
        <x:v>0</x:v>
      </x:c>
    </x:row>
    <x:row r="46">
      <x:c r="A46" s="27" t="str">
        <x:v>松濤三館</x:v>
      </x:c>
      <x:c r="B46" s="27" t="str">
        <x:v>日立</x:v>
      </x:c>
      <x:c r="C46" s="27" t="str">
        <x:v>RAS-36JB</x:v>
      </x:c>
      <x:c r="D46" s="27" t="str">
        <x:v>2010–2019</x:v>
      </x:c>
      <x:c r="E46" s="48" t="n">
        <x:v>1</x:v>
      </x:c>
      <x:c r="F46" s="45" t="n">
        <x:v>10.71</x:v>
      </x:c>
      <x:c r="G46" s="27" t="n">
        <x:v>0</x:v>
      </x:c>
    </x:row>
    <x:row r="47">
      <x:c r="A47" s="27" t="str">
        <x:v>松濤三館</x:v>
      </x:c>
      <x:c r="B47" s="27" t="str">
        <x:v>日立</x:v>
      </x:c>
      <x:c r="C47" s="27" t="str">
        <x:v>RAS-40JB</x:v>
      </x:c>
      <x:c r="D47" s="27" t="str">
        <x:v>2010–2019</x:v>
      </x:c>
      <x:c r="E47" s="48" t="n">
        <x:v>1</x:v>
      </x:c>
      <x:c r="F47" s="45" t="n">
        <x:v>9.56</x:v>
      </x:c>
      <x:c r="G47" s="27" t="n">
        <x:v>0</x:v>
      </x:c>
    </x:row>
    <x:row r="48">
      <x:c r="A48" s="27" t="str">
        <x:v>松濤三館</x:v>
      </x:c>
      <x:c r="B48" s="27" t="str">
        <x:v>日立</x:v>
      </x:c>
      <x:c r="C48" s="27" t="str">
        <x:v>RAS-40SK1</x:v>
      </x:c>
      <x:c r="D48" s="27" t="str">
        <x:v>2020–2029</x:v>
      </x:c>
      <x:c r="E48" s="48" t="n">
        <x:v>1</x:v>
      </x:c>
      <x:c r="F48" s="45" t="n">
        <x:v>4.42</x:v>
      </x:c>
      <x:c r="G48" s="27" t="n">
        <x:v>0</x:v>
      </x:c>
    </x:row>
    <x:row r="49">
      <x:c r="A49" s="27" t="str">
        <x:v>松濤三館</x:v>
      </x:c>
      <x:c r="B49" s="27" t="str">
        <x:v>萬士益</x:v>
      </x:c>
      <x:c r="C49" s="27" t="str">
        <x:v>RAS-36YSP</x:v>
      </x:c>
      <x:c r="D49" s="27" t="str">
        <x:v>2020–2029</x:v>
      </x:c>
      <x:c r="E49" s="48" t="n">
        <x:v>1</x:v>
      </x:c>
      <x:c r="F49" s="45" t="n">
        <x:v>0.77</x:v>
      </x:c>
      <x:c r="G49" s="27" t="n">
        <x:v>0</x:v>
      </x:c>
    </x:row>
    <x:row r="50">
      <x:c r="A50" s="27" t="str">
        <x:v>松濤二館</x:v>
      </x:c>
      <x:c r="B50" s="27" t="str">
        <x:v>大金</x:v>
      </x:c>
      <x:c r="C50" s="27" t="str">
        <x:v>FTX25JVET</x:v>
      </x:c>
      <x:c r="D50" s="27" t="str">
        <x:v>2000–2009</x:v>
      </x:c>
      <x:c r="E50" s="48" t="n">
        <x:v>40</x:v>
      </x:c>
      <x:c r="F50" s="45" t="n">
        <x:v>24.99</x:v>
      </x:c>
      <x:c r="G50" s="27" t="n">
        <x:v>0</x:v>
      </x:c>
    </x:row>
    <x:row r="51">
      <x:c r="A51" s="27" t="str">
        <x:v>松濤二館</x:v>
      </x:c>
      <x:c r="B51" s="27" t="str">
        <x:v>萬士益</x:v>
      </x:c>
      <x:c r="C51" s="27" t="str">
        <x:v>RA-50MV</x:v>
      </x:c>
      <x:c r="D51" s="27" t="str">
        <x:v>2020–2029</x:v>
      </x:c>
      <x:c r="E51" s="48" t="n">
        <x:v>33</x:v>
      </x:c>
      <x:c r="F51" s="45" t="n">
        <x:v>6.03</x:v>
      </x:c>
      <x:c r="G51" s="27" t="n">
        <x:v>0</x:v>
      </x:c>
    </x:row>
    <x:row r="52">
      <x:c r="A52" s="27" t="str">
        <x:v>松濤二館</x:v>
      </x:c>
      <x:c r="B52" s="27" t="str">
        <x:v>日立</x:v>
      </x:c>
      <x:c r="C52" s="27" t="str">
        <x:v>RAS-28JK</x:v>
      </x:c>
      <x:c r="D52" s="27" t="str">
        <x:v>2010–2019</x:v>
      </x:c>
      <x:c r="E52" s="48" t="n">
        <x:v>18</x:v>
      </x:c>
      <x:c r="F52" s="45" t="n">
        <x:v>8.04</x:v>
      </x:c>
      <x:c r="G52" s="27" t="n">
        <x:v>0</x:v>
      </x:c>
    </x:row>
    <x:row r="53">
      <x:c r="A53" s="27" t="str">
        <x:v>松濤二館</x:v>
      </x:c>
      <x:c r="B53" s="27" t="str">
        <x:v>大金</x:v>
      </x:c>
      <x:c r="C53" s="27" t="str">
        <x:v>FTX35JVET</x:v>
      </x:c>
      <x:c r="D53" s="27" t="str">
        <x:v>2000–2009</x:v>
      </x:c>
      <x:c r="E53" s="48" t="n">
        <x:v>11</x:v>
      </x:c>
      <x:c r="F53" s="45" t="n">
        <x:v>24.99</x:v>
      </x:c>
      <x:c r="G53" s="27" t="n">
        <x:v>0</x:v>
      </x:c>
    </x:row>
    <x:row r="54">
      <x:c r="A54" s="27" t="str">
        <x:v>松濤二館</x:v>
      </x:c>
      <x:c r="B54" s="27" t="str">
        <x:v>日立</x:v>
      </x:c>
      <x:c r="C54" s="27" t="str">
        <x:v>RAS-36YSP</x:v>
      </x:c>
      <x:c r="D54" s="27" t="str">
        <x:v>2020–2029</x:v>
      </x:c>
      <x:c r="E54" s="48" t="n">
        <x:v>10</x:v>
      </x:c>
      <x:c r="F54" s="45" t="n">
        <x:v>1.3250000000000002</x:v>
      </x:c>
      <x:c r="G54" s="27" t="n">
        <x:v>0</x:v>
      </x:c>
    </x:row>
    <x:row r="55">
      <x:c r="A55" s="27" t="str">
        <x:v>松濤二館</x:v>
      </x:c>
      <x:c r="B55" s="27" t="str">
        <x:v>日立</x:v>
      </x:c>
      <x:c r="C55" s="27" t="str">
        <x:v>RAS-28JKI</x:v>
      </x:c>
      <x:c r="D55" s="27" t="str">
        <x:v>2010–2019</x:v>
      </x:c>
      <x:c r="E55" s="48" t="n">
        <x:v>8</x:v>
      </x:c>
      <x:c r="F55" s="45" t="n">
        <x:v>6.64</x:v>
      </x:c>
      <x:c r="G55" s="27" t="n">
        <x:v>0</x:v>
      </x:c>
    </x:row>
    <x:row r="56">
      <x:c r="A56" s="27" t="str">
        <x:v>松濤二館</x:v>
      </x:c>
      <x:c r="B56" s="27" t="str">
        <x:v>日立</x:v>
      </x:c>
      <x:c r="C56" s="27" t="str">
        <x:v>RAS-36YSK</x:v>
      </x:c>
      <x:c r="D56" s="27" t="str">
        <x:v>2020–2029</x:v>
      </x:c>
      <x:c r="E56" s="48" t="n">
        <x:v>8</x:v>
      </x:c>
      <x:c r="F56" s="45" t="n">
        <x:v>4.04</x:v>
      </x:c>
      <x:c r="G56" s="27" t="n">
        <x:v>0</x:v>
      </x:c>
    </x:row>
    <x:row r="57">
      <x:c r="A57" s="27" t="str">
        <x:v>松濤二館</x:v>
      </x:c>
      <x:c r="B57" s="27" t="str">
        <x:v>日立</x:v>
      </x:c>
      <x:c r="C57" s="27" t="str">
        <x:v>RAS-40JK</x:v>
      </x:c>
      <x:c r="D57" s="27" t="str">
        <x:v>2010–2019</x:v>
      </x:c>
      <x:c r="E57" s="48" t="n">
        <x:v>7</x:v>
      </x:c>
      <x:c r="F57" s="45" t="n">
        <x:v>8.04</x:v>
      </x:c>
      <x:c r="G57" s="27" t="n">
        <x:v>0</x:v>
      </x:c>
    </x:row>
    <x:row r="58">
      <x:c r="A58" s="27" t="str">
        <x:v>松濤二館</x:v>
      </x:c>
      <x:c r="B58" s="27" t="str">
        <x:v>日立</x:v>
      </x:c>
      <x:c r="C58" s="27" t="str">
        <x:v>RAS-36SK1</x:v>
      </x:c>
      <x:c r="D58" s="27" t="str">
        <x:v>2020–2029</x:v>
      </x:c>
      <x:c r="E58" s="48" t="n">
        <x:v>5</x:v>
      </x:c>
      <x:c r="F58" s="45" t="n">
        <x:v>4.42</x:v>
      </x:c>
      <x:c r="G58" s="27" t="n">
        <x:v>0</x:v>
      </x:c>
    </x:row>
    <x:row r="59">
      <x:c r="A59" s="27" t="str">
        <x:v>松濤二館</x:v>
      </x:c>
      <x:c r="B59" s="27" t="str">
        <x:v>日立</x:v>
      </x:c>
      <x:c r="C59" s="27" t="str">
        <x:v>RAS-28JB</x:v>
      </x:c>
      <x:c r="D59" s="27" t="str">
        <x:v>2010–2019</x:v>
      </x:c>
      <x:c r="E59" s="48" t="n">
        <x:v>3</x:v>
      </x:c>
      <x:c r="F59" s="45" t="n">
        <x:v>13.04</x:v>
      </x:c>
      <x:c r="G59" s="27" t="n">
        <x:v>0</x:v>
      </x:c>
    </x:row>
    <x:row r="60">
      <x:c r="A60" s="27" t="str">
        <x:v>松濤二館</x:v>
      </x:c>
      <x:c r="B60" s="27" t="str">
        <x:v>日立</x:v>
      </x:c>
      <x:c r="C60" s="27" t="str">
        <x:v>RAS-40JK</x:v>
      </x:c>
      <x:c r="D60" s="27" t="str">
        <x:v>2020–2029</x:v>
      </x:c>
      <x:c r="E60" s="48" t="n">
        <x:v>3</x:v>
      </x:c>
      <x:c r="F60" s="45" t="n">
        <x:v>6.03</x:v>
      </x:c>
      <x:c r="G60" s="27" t="n">
        <x:v>0</x:v>
      </x:c>
    </x:row>
    <x:row r="61">
      <x:c r="A61" s="27" t="str">
        <x:v>松濤二館</x:v>
      </x:c>
      <x:c r="B61" s="27" t="str">
        <x:v>日立</x:v>
      </x:c>
      <x:c r="C61" s="27" t="str">
        <x:v>RAS-40YSK</x:v>
      </x:c>
      <x:c r="D61" s="27" t="str">
        <x:v>2020–2029</x:v>
      </x:c>
      <x:c r="E61" s="48" t="n">
        <x:v>3</x:v>
      </x:c>
      <x:c r="F61" s="45" t="n">
        <x:v>4.04</x:v>
      </x:c>
      <x:c r="G61" s="27" t="n">
        <x:v>0</x:v>
      </x:c>
    </x:row>
    <x:row r="62">
      <x:c r="A62" s="27" t="str">
        <x:v>松濤二館</x:v>
      </x:c>
      <x:c r="B62" s="27" t="str">
        <x:v>日立</x:v>
      </x:c>
      <x:c r="C62" s="27" t="str">
        <x:v>RAS-40YSP</x:v>
      </x:c>
      <x:c r="D62" s="27" t="str">
        <x:v>2020–2029</x:v>
      </x:c>
      <x:c r="E62" s="48" t="n">
        <x:v>3</x:v>
      </x:c>
      <x:c r="F62" s="45" t="n">
        <x:v>0.86</x:v>
      </x:c>
      <x:c r="G62" s="27" t="n">
        <x:v>0</x:v>
      </x:c>
    </x:row>
    <x:row r="63">
      <x:c r="A63" s="27" t="str">
        <x:v>松濤二館</x:v>
      </x:c>
      <x:c r="B63" s="27" t="str">
        <x:v>日立</x:v>
      </x:c>
      <x:c r="C63" s="27" t="str">
        <x:v>RAS-28JK1</x:v>
      </x:c>
      <x:c r="D63" s="27" t="str">
        <x:v>2010–2019</x:v>
      </x:c>
      <x:c r="E63" s="48" t="n">
        <x:v>2</x:v>
      </x:c>
      <x:c r="F63" s="45" t="n">
        <x:v>7.04</x:v>
      </x:c>
      <x:c r="G63" s="27" t="n">
        <x:v>0</x:v>
      </x:c>
    </x:row>
    <x:row r="64">
      <x:c r="A64" s="27" t="str">
        <x:v>松濤二館</x:v>
      </x:c>
      <x:c r="B64" s="27" t="str">
        <x:v>日立</x:v>
      </x:c>
      <x:c r="C64" s="27" t="str">
        <x:v>RAS-28QK</x:v>
      </x:c>
      <x:c r="D64" s="27" t="str">
        <x:v>2010–2019</x:v>
      </x:c>
      <x:c r="E64" s="48" t="n">
        <x:v>2</x:v>
      </x:c>
      <x:c r="F64" s="45" t="n">
        <x:v>9.56</x:v>
      </x:c>
      <x:c r="G64" s="27" t="n">
        <x:v>0</x:v>
      </x:c>
    </x:row>
    <x:row r="65">
      <x:c r="A65" s="27" t="str">
        <x:v>松濤二館</x:v>
      </x:c>
      <x:c r="B65" s="27" t="str">
        <x:v>日立</x:v>
      </x:c>
      <x:c r="C65" s="27" t="str">
        <x:v>RAS-40WK</x:v>
      </x:c>
      <x:c r="D65" s="27" t="str">
        <x:v>2010–2019</x:v>
      </x:c>
      <x:c r="E65" s="48" t="n">
        <x:v>2</x:v>
      </x:c>
      <x:c r="F65" s="45" t="n">
        <x:v>11.04</x:v>
      </x:c>
      <x:c r="G65" s="27" t="n">
        <x:v>0</x:v>
      </x:c>
    </x:row>
    <x:row r="66">
      <x:c r="A66" s="27" t="str">
        <x:v>松濤二館</x:v>
      </x:c>
      <x:c r="B66" s="27" t="str">
        <x:v>日立</x:v>
      </x:c>
      <x:c r="C66" s="27" t="str">
        <x:v>RAS-50JB</x:v>
      </x:c>
      <x:c r="D66" s="27" t="str">
        <x:v>2010–2019</x:v>
      </x:c>
      <x:c r="E66" s="48" t="n">
        <x:v>2</x:v>
      </x:c>
      <x:c r="F66" s="45" t="n">
        <x:v>12.04</x:v>
      </x:c>
      <x:c r="G66" s="27" t="n">
        <x:v>0</x:v>
      </x:c>
    </x:row>
    <x:row r="67">
      <x:c r="A67" s="27" t="str">
        <x:v>松濤二館</x:v>
      </x:c>
      <x:c r="B67" s="27" t="str">
        <x:v>日立</x:v>
      </x:c>
      <x:c r="C67" s="27" t="str">
        <x:v>4.1KW</x:v>
      </x:c>
      <x:c r="D67" s="27" t="str">
        <x:v>2010–2019</x:v>
      </x:c>
      <x:c r="E67" s="48" t="n">
        <x:v>1</x:v>
      </x:c>
      <x:c r="F67" s="45" t="n">
        <x:v>12.04</x:v>
      </x:c>
      <x:c r="G67" s="27" t="n">
        <x:v>0</x:v>
      </x:c>
    </x:row>
    <x:row r="68">
      <x:c r="A68" s="27" t="str">
        <x:v>松濤二館</x:v>
      </x:c>
      <x:c r="B68" s="27" t="str">
        <x:v>日立</x:v>
      </x:c>
      <x:c r="C68" s="27" t="str">
        <x:v>RAD-28JB</x:v>
      </x:c>
      <x:c r="D68" s="27" t="str">
        <x:v>2010–2019</x:v>
      </x:c>
      <x:c r="E68" s="48" t="n">
        <x:v>1</x:v>
      </x:c>
      <x:c r="F68" s="45" t="n">
        <x:v>12.04</x:v>
      </x:c>
      <x:c r="G68" s="27" t="n">
        <x:v>0</x:v>
      </x:c>
    </x:row>
    <x:row r="69">
      <x:c r="A69" s="27" t="str">
        <x:v>松濤二館</x:v>
      </x:c>
      <x:c r="B69" s="27" t="str">
        <x:v>日立</x:v>
      </x:c>
      <x:c r="C69" s="27" t="str">
        <x:v>RAD-45BP</x:v>
      </x:c>
      <x:c r="D69" s="27" t="str">
        <x:v>2000–2009</x:v>
      </x:c>
      <x:c r="E69" s="48" t="n">
        <x:v>1</x:v>
      </x:c>
      <x:c r="F69" s="45" t="n">
        <x:v>18.03</x:v>
      </x:c>
      <x:c r="G69" s="27" t="n">
        <x:v>0</x:v>
      </x:c>
    </x:row>
    <x:row r="70">
      <x:c r="A70" s="27" t="str">
        <x:v>松濤二館</x:v>
      </x:c>
      <x:c r="B70" s="27" t="str">
        <x:v>日立</x:v>
      </x:c>
      <x:c r="C70" s="27" t="str">
        <x:v>RAD-50JB</x:v>
      </x:c>
      <x:c r="D70" s="27" t="str">
        <x:v>2010–2019</x:v>
      </x:c>
      <x:c r="E70" s="48" t="n">
        <x:v>1</x:v>
      </x:c>
      <x:c r="F70" s="45" t="n">
        <x:v>12.04</x:v>
      </x:c>
      <x:c r="G70" s="27" t="n">
        <x:v>0</x:v>
      </x:c>
    </x:row>
    <x:row r="71">
      <x:c r="A71" s="27" t="str">
        <x:v>松濤二館</x:v>
      </x:c>
      <x:c r="B71" s="27" t="str">
        <x:v>日立</x:v>
      </x:c>
      <x:c r="C71" s="27" t="str">
        <x:v>RAS-28JK1</x:v>
      </x:c>
      <x:c r="D71" s="27" t="str">
        <x:v>2020–2029</x:v>
      </x:c>
      <x:c r="E71" s="48" t="n">
        <x:v>1</x:v>
      </x:c>
      <x:c r="F71" s="45" t="n">
        <x:v>6.06</x:v>
      </x:c>
      <x:c r="G71" s="27" t="n">
        <x:v>0</x:v>
      </x:c>
    </x:row>
    <x:row r="72">
      <x:c r="A72" s="27" t="str">
        <x:v>松濤二館</x:v>
      </x:c>
      <x:c r="B72" s="27" t="str">
        <x:v>日立</x:v>
      </x:c>
      <x:c r="C72" s="27" t="str">
        <x:v>RAS-40JB</x:v>
      </x:c>
      <x:c r="D72" s="27" t="str">
        <x:v>2010–2019</x:v>
      </x:c>
      <x:c r="E72" s="48" t="n">
        <x:v>1</x:v>
      </x:c>
      <x:c r="F72" s="45" t="n">
        <x:v>9.56</x:v>
      </x:c>
      <x:c r="G72" s="27" t="n">
        <x:v>0</x:v>
      </x:c>
    </x:row>
    <x:row r="73">
      <x:c r="A73" s="27" t="str">
        <x:v>松濤二館</x:v>
      </x:c>
      <x:c r="B73" s="27" t="str">
        <x:v>日立</x:v>
      </x:c>
      <x:c r="C73" s="27" t="str">
        <x:v>RAS-40SK1</x:v>
      </x:c>
      <x:c r="D73" s="27" t="str">
        <x:v>2020–2029</x:v>
      </x:c>
      <x:c r="E73" s="48" t="n">
        <x:v>1</x:v>
      </x:c>
      <x:c r="F73" s="45" t="n">
        <x:v>5.07</x:v>
      </x:c>
      <x:c r="G73" s="27" t="n">
        <x:v>0</x:v>
      </x:c>
    </x:row>
    <x:row r="74">
      <x:c r="A74" s="27" t="str">
        <x:v>松濤二館</x:v>
      </x:c>
      <x:c r="B74" s="27" t="str">
        <x:v>日立</x:v>
      </x:c>
      <x:c r="C74" s="27" t="str">
        <x:v>RAS-63JB</x:v>
      </x:c>
      <x:c r="D74" s="27" t="str">
        <x:v>2010–2019</x:v>
      </x:c>
      <x:c r="E74" s="48" t="n">
        <x:v>1</x:v>
      </x:c>
      <x:c r="F74" s="45" t="n">
        <x:v>12.81</x:v>
      </x:c>
      <x:c r="G74" s="27" t="n">
        <x:v>0</x:v>
      </x:c>
    </x:row>
    <x:row r="75">
      <x:c r="A75" s="27" t="str">
        <x:v>松濤二館</x:v>
      </x:c>
      <x:c r="B75" s="27" t="str">
        <x:v>萬士益</x:v>
      </x:c>
      <x:c r="C75" s="27" t="str">
        <x:v>ME-28PH32</x:v>
      </x:c>
      <x:c r="D75" s="27" t="str">
        <x:v>2020–2029</x:v>
      </x:c>
      <x:c r="E75" s="48" t="n">
        <x:v>1</x:v>
      </x:c>
      <x:c r="F75" s="45" t="n">
        <x:v>2.86</x:v>
      </x:c>
      <x:c r="G75" s="27" t="n">
        <x:v>0</x:v>
      </x:c>
    </x:row>
    <x:row r="76">
      <x:c r="A76" s="28" t="str">
        <x:v>松濤二館</x:v>
      </x:c>
      <x:c r="B76" s="28" t="str">
        <x:v>萬士益</x:v>
      </x:c>
      <x:c r="C76" s="28" t="str">
        <x:v>RX-160MSN</x:v>
      </x:c>
      <x:c r="D76" s="28" t="str">
        <x:v>2020–2029</x:v>
      </x:c>
      <x:c r="E76" s="49" t="n">
        <x:v>1</x:v>
      </x:c>
      <x:c r="F76" s="46" t="n">
        <x:v>1.03</x:v>
      </x:c>
      <x:c r="G76" s="28" t="n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0e7d2d7e7b145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12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修繕／保養事件彙整</x:v>
      </x:c>
      <x:c r="B1" s="3"/>
      <x:c r="C1" s="3"/>
      <x:c r="D1" s="3"/>
      <x:c r="E1" s="3"/>
      <x:c r="F1" s="3"/>
    </x:row>
    <x:row r="2" ht="36" customHeight="1">
      <x:c r="A2" s="7" t="str">
        <x:v>依館別、年度與規則分類彙整；清洗、行政、非冷氣與檢查正常事件不當成故障標籤。 </x:v>
      </x:c>
      <x:c r="B2" s="7"/>
      <x:c r="C2" s="7"/>
      <x:c r="D2" s="7"/>
      <x:c r="E2" s="7"/>
      <x:c r="F2" s="7"/>
    </x:row>
    <x:row r="3">
      <x:c r="A3" s="60"/>
      <x:c r="B3" s="60"/>
      <x:c r="C3" s="60"/>
      <x:c r="D3" s="60"/>
      <x:c r="E3" s="60"/>
      <x:c r="F3" s="60"/>
    </x:row>
    <x:row r="4">
      <x:c r="A4" s="60"/>
      <x:c r="B4" s="60"/>
      <x:c r="C4" s="60"/>
      <x:c r="D4" s="60"/>
      <x:c r="E4" s="60"/>
      <x:c r="F4" s="60"/>
    </x:row>
    <x:row r="5" ht="34" customHeight="1">
      <x:c r="A5" s="19" t="str">
        <x:v>館別</x:v>
      </x:c>
      <x:c r="B5" s="20" t="str">
        <x:v>年度</x:v>
      </x:c>
      <x:c r="C5" s="20" t="str">
        <x:v>事件類別</x:v>
      </x:c>
      <x:c r="D5" s="20" t="str">
        <x:v>事件數</x:v>
      </x:c>
      <x:c r="E5" s="20" t="str">
        <x:v>故障事件數</x:v>
      </x:c>
      <x:c r="F5" s="21" t="str">
        <x:v>連回現有清冊數</x:v>
      </x:c>
    </x:row>
    <x:row r="6">
      <x:c r="A6" s="26" t="str">
        <x:v>松濤一館</x:v>
      </x:c>
      <x:c r="B6" s="26" t="str">
        <x:v>2002.0</x:v>
      </x:c>
      <x:c r="C6" s="26" t="str">
        <x:v>故障修繕</x:v>
      </x:c>
      <x:c r="D6" s="26" t="n">
        <x:v>1</x:v>
      </x:c>
      <x:c r="E6" s="26" t="n">
        <x:v>1</x:v>
      </x:c>
      <x:c r="F6" s="26" t="n">
        <x:v>1</x:v>
      </x:c>
    </x:row>
    <x:row r="7">
      <x:c r="A7" s="27" t="str">
        <x:v>松濤一館</x:v>
      </x:c>
      <x:c r="B7" s="27" t="str">
        <x:v>2003.0</x:v>
      </x:c>
      <x:c r="C7" s="27" t="str">
        <x:v>故障修繕</x:v>
      </x:c>
      <x:c r="D7" s="27" t="n">
        <x:v>14</x:v>
      </x:c>
      <x:c r="E7" s="27" t="n">
        <x:v>14</x:v>
      </x:c>
      <x:c r="F7" s="27" t="n">
        <x:v>14</x:v>
      </x:c>
    </x:row>
    <x:row r="8">
      <x:c r="A8" s="27" t="str">
        <x:v>松濤一館</x:v>
      </x:c>
      <x:c r="B8" s="27" t="str">
        <x:v>2004.0</x:v>
      </x:c>
      <x:c r="C8" s="27" t="str">
        <x:v>故障修繕</x:v>
      </x:c>
      <x:c r="D8" s="27" t="n">
        <x:v>9</x:v>
      </x:c>
      <x:c r="E8" s="27" t="n">
        <x:v>9</x:v>
      </x:c>
      <x:c r="F8" s="27" t="n">
        <x:v>9</x:v>
      </x:c>
    </x:row>
    <x:row r="9">
      <x:c r="A9" s="27" t="str">
        <x:v>松濤一館</x:v>
      </x:c>
      <x:c r="B9" s="27" t="str">
        <x:v>2005.0</x:v>
      </x:c>
      <x:c r="C9" s="27" t="str">
        <x:v>故障修繕</x:v>
      </x:c>
      <x:c r="D9" s="27" t="n">
        <x:v>6</x:v>
      </x:c>
      <x:c r="E9" s="27" t="n">
        <x:v>6</x:v>
      </x:c>
      <x:c r="F9" s="27" t="n">
        <x:v>6</x:v>
      </x:c>
    </x:row>
    <x:row r="10">
      <x:c r="A10" s="27" t="str">
        <x:v>松濤一館</x:v>
      </x:c>
      <x:c r="B10" s="27" t="str">
        <x:v>2006.0</x:v>
      </x:c>
      <x:c r="C10" s="27" t="str">
        <x:v>故障修繕</x:v>
      </x:c>
      <x:c r="D10" s="27" t="n">
        <x:v>4</x:v>
      </x:c>
      <x:c r="E10" s="27" t="n">
        <x:v>4</x:v>
      </x:c>
      <x:c r="F10" s="27" t="n">
        <x:v>4</x:v>
      </x:c>
    </x:row>
    <x:row r="11">
      <x:c r="A11" s="27" t="str">
        <x:v>松濤一館</x:v>
      </x:c>
      <x:c r="B11" s="27" t="str">
        <x:v>2006.0</x:v>
      </x:c>
      <x:c r="C11" s="27" t="str">
        <x:v>非冷氣設備</x:v>
      </x:c>
      <x:c r="D11" s="27" t="n">
        <x:v>2</x:v>
      </x:c>
      <x:c r="E11" s="27" t="n">
        <x:v>0</x:v>
      </x:c>
      <x:c r="F11" s="27" t="n">
        <x:v>2</x:v>
      </x:c>
    </x:row>
    <x:row r="12">
      <x:c r="A12" s="27" t="str">
        <x:v>松濤一館</x:v>
      </x:c>
      <x:c r="B12" s="27" t="str">
        <x:v>2007.0</x:v>
      </x:c>
      <x:c r="C12" s="27" t="str">
        <x:v>故障修繕</x:v>
      </x:c>
      <x:c r="D12" s="27" t="n">
        <x:v>5</x:v>
      </x:c>
      <x:c r="E12" s="27" t="n">
        <x:v>5</x:v>
      </x:c>
      <x:c r="F12" s="27" t="n">
        <x:v>5</x:v>
      </x:c>
    </x:row>
    <x:row r="13">
      <x:c r="A13" s="27" t="str">
        <x:v>松濤一館</x:v>
      </x:c>
      <x:c r="B13" s="27" t="str">
        <x:v>2007.0</x:v>
      </x:c>
      <x:c r="C13" s="27" t="str">
        <x:v>非冷氣設備</x:v>
      </x:c>
      <x:c r="D13" s="27" t="n">
        <x:v>2</x:v>
      </x:c>
      <x:c r="E13" s="27" t="n">
        <x:v>0</x:v>
      </x:c>
      <x:c r="F13" s="27" t="n">
        <x:v>2</x:v>
      </x:c>
    </x:row>
    <x:row r="14">
      <x:c r="A14" s="27" t="str">
        <x:v>松濤一館</x:v>
      </x:c>
      <x:c r="B14" s="27" t="str">
        <x:v>2008.0</x:v>
      </x:c>
      <x:c r="C14" s="27" t="str">
        <x:v>故障修繕</x:v>
      </x:c>
      <x:c r="D14" s="27" t="n">
        <x:v>7</x:v>
      </x:c>
      <x:c r="E14" s="27" t="n">
        <x:v>7</x:v>
      </x:c>
      <x:c r="F14" s="27" t="n">
        <x:v>7</x:v>
      </x:c>
    </x:row>
    <x:row r="15">
      <x:c r="A15" s="27" t="str">
        <x:v>松濤一館</x:v>
      </x:c>
      <x:c r="B15" s="27" t="str">
        <x:v>2008.0</x:v>
      </x:c>
      <x:c r="C15" s="27" t="str">
        <x:v>非冷氣設備</x:v>
      </x:c>
      <x:c r="D15" s="27" t="n">
        <x:v>1</x:v>
      </x:c>
      <x:c r="E15" s="27" t="n">
        <x:v>0</x:v>
      </x:c>
      <x:c r="F15" s="27" t="n">
        <x:v>1</x:v>
      </x:c>
    </x:row>
    <x:row r="16">
      <x:c r="A16" s="27" t="str">
        <x:v>松濤一館</x:v>
      </x:c>
      <x:c r="B16" s="27" t="str">
        <x:v>2009.0</x:v>
      </x:c>
      <x:c r="C16" s="27" t="str">
        <x:v>故障修繕</x:v>
      </x:c>
      <x:c r="D16" s="27" t="n">
        <x:v>13</x:v>
      </x:c>
      <x:c r="E16" s="27" t="n">
        <x:v>13</x:v>
      </x:c>
      <x:c r="F16" s="27" t="n">
        <x:v>13</x:v>
      </x:c>
    </x:row>
    <x:row r="17">
      <x:c r="A17" s="27" t="str">
        <x:v>松濤一館</x:v>
      </x:c>
      <x:c r="B17" s="27" t="str">
        <x:v>2009.0</x:v>
      </x:c>
      <x:c r="C17" s="27" t="str">
        <x:v>非冷氣設備</x:v>
      </x:c>
      <x:c r="D17" s="27" t="n">
        <x:v>2</x:v>
      </x:c>
      <x:c r="E17" s="27" t="n">
        <x:v>0</x:v>
      </x:c>
      <x:c r="F17" s="27" t="n">
        <x:v>2</x:v>
      </x:c>
    </x:row>
    <x:row r="18">
      <x:c r="A18" s="27" t="str">
        <x:v>松濤一館</x:v>
      </x:c>
      <x:c r="B18" s="27" t="str">
        <x:v>2010.0</x:v>
      </x:c>
      <x:c r="C18" s="27" t="str">
        <x:v>例行保養／清洗</x:v>
      </x:c>
      <x:c r="D18" s="27" t="n">
        <x:v>1</x:v>
      </x:c>
      <x:c r="E18" s="27" t="n">
        <x:v>0</x:v>
      </x:c>
      <x:c r="F18" s="27" t="n">
        <x:v>1</x:v>
      </x:c>
    </x:row>
    <x:row r="19">
      <x:c r="A19" s="27" t="str">
        <x:v>松濤一館</x:v>
      </x:c>
      <x:c r="B19" s="27" t="str">
        <x:v>2010.0</x:v>
      </x:c>
      <x:c r="C19" s="27" t="str">
        <x:v>故障修繕</x:v>
      </x:c>
      <x:c r="D19" s="27" t="n">
        <x:v>8</x:v>
      </x:c>
      <x:c r="E19" s="27" t="n">
        <x:v>8</x:v>
      </x:c>
      <x:c r="F19" s="27" t="n">
        <x:v>8</x:v>
      </x:c>
    </x:row>
    <x:row r="20">
      <x:c r="A20" s="27" t="str">
        <x:v>松濤一館</x:v>
      </x:c>
      <x:c r="B20" s="27" t="str">
        <x:v>2010.0</x:v>
      </x:c>
      <x:c r="C20" s="27" t="str">
        <x:v>檢查未發現故障</x:v>
      </x:c>
      <x:c r="D20" s="27" t="n">
        <x:v>3</x:v>
      </x:c>
      <x:c r="E20" s="27" t="n">
        <x:v>0</x:v>
      </x:c>
      <x:c r="F20" s="27" t="n">
        <x:v>3</x:v>
      </x:c>
    </x:row>
    <x:row r="21">
      <x:c r="A21" s="27" t="str">
        <x:v>松濤一館</x:v>
      </x:c>
      <x:c r="B21" s="27" t="str">
        <x:v>2011.0</x:v>
      </x:c>
      <x:c r="C21" s="27" t="str">
        <x:v>故障修繕</x:v>
      </x:c>
      <x:c r="D21" s="27" t="n">
        <x:v>5</x:v>
      </x:c>
      <x:c r="E21" s="27" t="n">
        <x:v>5</x:v>
      </x:c>
      <x:c r="F21" s="27" t="n">
        <x:v>5</x:v>
      </x:c>
    </x:row>
    <x:row r="22">
      <x:c r="A22" s="27" t="str">
        <x:v>松濤一館</x:v>
      </x:c>
      <x:c r="B22" s="27" t="str">
        <x:v>2011.0</x:v>
      </x:c>
      <x:c r="C22" s="27" t="str">
        <x:v>檢查未發現故障</x:v>
      </x:c>
      <x:c r="D22" s="27" t="n">
        <x:v>1</x:v>
      </x:c>
      <x:c r="E22" s="27" t="n">
        <x:v>0</x:v>
      </x:c>
      <x:c r="F22" s="27" t="n">
        <x:v>1</x:v>
      </x:c>
    </x:row>
    <x:row r="23">
      <x:c r="A23" s="27" t="str">
        <x:v>松濤一館</x:v>
      </x:c>
      <x:c r="B23" s="27" t="str">
        <x:v>2012.0</x:v>
      </x:c>
      <x:c r="C23" s="27" t="str">
        <x:v>故障修繕</x:v>
      </x:c>
      <x:c r="D23" s="27" t="n">
        <x:v>16</x:v>
      </x:c>
      <x:c r="E23" s="27" t="n">
        <x:v>16</x:v>
      </x:c>
      <x:c r="F23" s="27" t="n">
        <x:v>14</x:v>
      </x:c>
    </x:row>
    <x:row r="24">
      <x:c r="A24" s="27" t="str">
        <x:v>松濤一館</x:v>
      </x:c>
      <x:c r="B24" s="27" t="str">
        <x:v>2012.0</x:v>
      </x:c>
      <x:c r="C24" s="27" t="str">
        <x:v>檢查未發現故障</x:v>
      </x:c>
      <x:c r="D24" s="27" t="n">
        <x:v>12</x:v>
      </x:c>
      <x:c r="E24" s="27" t="n">
        <x:v>0</x:v>
      </x:c>
      <x:c r="F24" s="27" t="n">
        <x:v>12</x:v>
      </x:c>
    </x:row>
    <x:row r="25">
      <x:c r="A25" s="27" t="str">
        <x:v>松濤一館</x:v>
      </x:c>
      <x:c r="B25" s="27" t="str">
        <x:v>2013.0</x:v>
      </x:c>
      <x:c r="C25" s="27" t="str">
        <x:v>故障修繕</x:v>
      </x:c>
      <x:c r="D25" s="27" t="n">
        <x:v>41</x:v>
      </x:c>
      <x:c r="E25" s="27" t="n">
        <x:v>41</x:v>
      </x:c>
      <x:c r="F25" s="27" t="n">
        <x:v>40</x:v>
      </x:c>
    </x:row>
    <x:row r="26">
      <x:c r="A26" s="27" t="str">
        <x:v>松濤一館</x:v>
      </x:c>
      <x:c r="B26" s="27" t="str">
        <x:v>2013.0</x:v>
      </x:c>
      <x:c r="C26" s="27" t="str">
        <x:v>檢查未發現故障</x:v>
      </x:c>
      <x:c r="D26" s="27" t="n">
        <x:v>4</x:v>
      </x:c>
      <x:c r="E26" s="27" t="n">
        <x:v>0</x:v>
      </x:c>
      <x:c r="F26" s="27" t="n">
        <x:v>4</x:v>
      </x:c>
    </x:row>
    <x:row r="27">
      <x:c r="A27" s="27" t="str">
        <x:v>松濤一館</x:v>
      </x:c>
      <x:c r="B27" s="27" t="str">
        <x:v>2014.0</x:v>
      </x:c>
      <x:c r="C27" s="27" t="str">
        <x:v>故障修繕</x:v>
      </x:c>
      <x:c r="D27" s="27" t="n">
        <x:v>19</x:v>
      </x:c>
      <x:c r="E27" s="27" t="n">
        <x:v>19</x:v>
      </x:c>
      <x:c r="F27" s="27" t="n">
        <x:v>19</x:v>
      </x:c>
    </x:row>
    <x:row r="28">
      <x:c r="A28" s="27" t="str">
        <x:v>松濤一館</x:v>
      </x:c>
      <x:c r="B28" s="27" t="str">
        <x:v>2014.0</x:v>
      </x:c>
      <x:c r="C28" s="27" t="str">
        <x:v>檢查未發現故障</x:v>
      </x:c>
      <x:c r="D28" s="27" t="n">
        <x:v>5</x:v>
      </x:c>
      <x:c r="E28" s="27" t="n">
        <x:v>0</x:v>
      </x:c>
      <x:c r="F28" s="27" t="n">
        <x:v>5</x:v>
      </x:c>
    </x:row>
    <x:row r="29">
      <x:c r="A29" s="27" t="str">
        <x:v>松濤一館</x:v>
      </x:c>
      <x:c r="B29" s="27" t="str">
        <x:v>2015.0</x:v>
      </x:c>
      <x:c r="C29" s="27" t="str">
        <x:v>故障修繕</x:v>
      </x:c>
      <x:c r="D29" s="27" t="n">
        <x:v>18</x:v>
      </x:c>
      <x:c r="E29" s="27" t="n">
        <x:v>18</x:v>
      </x:c>
      <x:c r="F29" s="27" t="n">
        <x:v>16</x:v>
      </x:c>
    </x:row>
    <x:row r="30">
      <x:c r="A30" s="27" t="str">
        <x:v>松濤一館</x:v>
      </x:c>
      <x:c r="B30" s="27" t="str">
        <x:v>2015.0</x:v>
      </x:c>
      <x:c r="C30" s="27" t="str">
        <x:v>檢查未發現故障</x:v>
      </x:c>
      <x:c r="D30" s="27" t="n">
        <x:v>2</x:v>
      </x:c>
      <x:c r="E30" s="27" t="n">
        <x:v>0</x:v>
      </x:c>
      <x:c r="F30" s="27" t="n">
        <x:v>2</x:v>
      </x:c>
    </x:row>
    <x:row r="31">
      <x:c r="A31" s="27" t="str">
        <x:v>松濤一館</x:v>
      </x:c>
      <x:c r="B31" s="27" t="str">
        <x:v>2015.0</x:v>
      </x:c>
      <x:c r="C31" s="27" t="str">
        <x:v>非冷氣設備</x:v>
      </x:c>
      <x:c r="D31" s="27" t="n">
        <x:v>2</x:v>
      </x:c>
      <x:c r="E31" s="27" t="n">
        <x:v>0</x:v>
      </x:c>
      <x:c r="F31" s="27" t="n">
        <x:v>0</x:v>
      </x:c>
    </x:row>
    <x:row r="32">
      <x:c r="A32" s="27" t="str">
        <x:v>松濤一館</x:v>
      </x:c>
      <x:c r="B32" s="27" t="str">
        <x:v>2016.0</x:v>
      </x:c>
      <x:c r="C32" s="27" t="str">
        <x:v>故障修繕</x:v>
      </x:c>
      <x:c r="D32" s="27" t="n">
        <x:v>43</x:v>
      </x:c>
      <x:c r="E32" s="27" t="n">
        <x:v>43</x:v>
      </x:c>
      <x:c r="F32" s="27" t="n">
        <x:v>41</x:v>
      </x:c>
    </x:row>
    <x:row r="33">
      <x:c r="A33" s="27" t="str">
        <x:v>松濤一館</x:v>
      </x:c>
      <x:c r="B33" s="27" t="str">
        <x:v>2016.0</x:v>
      </x:c>
      <x:c r="C33" s="27" t="str">
        <x:v>檢查未發現故障</x:v>
      </x:c>
      <x:c r="D33" s="27" t="n">
        <x:v>14</x:v>
      </x:c>
      <x:c r="E33" s="27" t="n">
        <x:v>0</x:v>
      </x:c>
      <x:c r="F33" s="27" t="n">
        <x:v>14</x:v>
      </x:c>
    </x:row>
    <x:row r="34">
      <x:c r="A34" s="27" t="str">
        <x:v>松濤一館</x:v>
      </x:c>
      <x:c r="B34" s="27" t="str">
        <x:v>2017.0</x:v>
      </x:c>
      <x:c r="C34" s="27" t="str">
        <x:v>故障修繕</x:v>
      </x:c>
      <x:c r="D34" s="27" t="n">
        <x:v>47</x:v>
      </x:c>
      <x:c r="E34" s="27" t="n">
        <x:v>47</x:v>
      </x:c>
      <x:c r="F34" s="27" t="n">
        <x:v>41</x:v>
      </x:c>
    </x:row>
    <x:row r="35">
      <x:c r="A35" s="27" t="str">
        <x:v>松濤一館</x:v>
      </x:c>
      <x:c r="B35" s="27" t="str">
        <x:v>2017.0</x:v>
      </x:c>
      <x:c r="C35" s="27" t="str">
        <x:v>檢查未發現故障</x:v>
      </x:c>
      <x:c r="D35" s="27" t="n">
        <x:v>3</x:v>
      </x:c>
      <x:c r="E35" s="27" t="n">
        <x:v>0</x:v>
      </x:c>
      <x:c r="F35" s="27" t="n">
        <x:v>3</x:v>
      </x:c>
    </x:row>
    <x:row r="36">
      <x:c r="A36" s="27" t="str">
        <x:v>松濤一館</x:v>
      </x:c>
      <x:c r="B36" s="27" t="str">
        <x:v>2018.0</x:v>
      </x:c>
      <x:c r="C36" s="27" t="str">
        <x:v>例行保養／清洗</x:v>
      </x:c>
      <x:c r="D36" s="27" t="n">
        <x:v>4</x:v>
      </x:c>
      <x:c r="E36" s="27" t="n">
        <x:v>0</x:v>
      </x:c>
      <x:c r="F36" s="27" t="n">
        <x:v>4</x:v>
      </x:c>
    </x:row>
    <x:row r="37">
      <x:c r="A37" s="27" t="str">
        <x:v>松濤一館</x:v>
      </x:c>
      <x:c r="B37" s="27" t="str">
        <x:v>2018.0</x:v>
      </x:c>
      <x:c r="C37" s="27" t="str">
        <x:v>故障修繕</x:v>
      </x:c>
      <x:c r="D37" s="27" t="n">
        <x:v>48</x:v>
      </x:c>
      <x:c r="E37" s="27" t="n">
        <x:v>48</x:v>
      </x:c>
      <x:c r="F37" s="27" t="n">
        <x:v>44</x:v>
      </x:c>
    </x:row>
    <x:row r="38">
      <x:c r="A38" s="27" t="str">
        <x:v>松濤一館</x:v>
      </x:c>
      <x:c r="B38" s="27" t="str">
        <x:v>2018.0</x:v>
      </x:c>
      <x:c r="C38" s="27" t="str">
        <x:v>檢查未發現故障</x:v>
      </x:c>
      <x:c r="D38" s="27" t="n">
        <x:v>6</x:v>
      </x:c>
      <x:c r="E38" s="27" t="n">
        <x:v>0</x:v>
      </x:c>
      <x:c r="F38" s="27" t="n">
        <x:v>6</x:v>
      </x:c>
    </x:row>
    <x:row r="39">
      <x:c r="A39" s="27" t="str">
        <x:v>松濤一館</x:v>
      </x:c>
      <x:c r="B39" s="27" t="str">
        <x:v>2019.0</x:v>
      </x:c>
      <x:c r="C39" s="27" t="str">
        <x:v>例行保養／清洗</x:v>
      </x:c>
      <x:c r="D39" s="27" t="n">
        <x:v>7</x:v>
      </x:c>
      <x:c r="E39" s="27" t="n">
        <x:v>0</x:v>
      </x:c>
      <x:c r="F39" s="27" t="n">
        <x:v>7</x:v>
      </x:c>
    </x:row>
    <x:row r="40">
      <x:c r="A40" s="27" t="str">
        <x:v>松濤一館</x:v>
      </x:c>
      <x:c r="B40" s="27" t="str">
        <x:v>2019.0</x:v>
      </x:c>
      <x:c r="C40" s="27" t="str">
        <x:v>故障修繕</x:v>
      </x:c>
      <x:c r="D40" s="27" t="n">
        <x:v>32</x:v>
      </x:c>
      <x:c r="E40" s="27" t="n">
        <x:v>32</x:v>
      </x:c>
      <x:c r="F40" s="27" t="n">
        <x:v>29</x:v>
      </x:c>
    </x:row>
    <x:row r="41">
      <x:c r="A41" s="27" t="str">
        <x:v>松濤一館</x:v>
      </x:c>
      <x:c r="B41" s="27" t="str">
        <x:v>2019.0</x:v>
      </x:c>
      <x:c r="C41" s="27" t="str">
        <x:v>檢查未發現故障</x:v>
      </x:c>
      <x:c r="D41" s="27" t="n">
        <x:v>5</x:v>
      </x:c>
      <x:c r="E41" s="27" t="n">
        <x:v>0</x:v>
      </x:c>
      <x:c r="F41" s="27" t="n">
        <x:v>5</x:v>
      </x:c>
    </x:row>
    <x:row r="42">
      <x:c r="A42" s="27" t="str">
        <x:v>松濤一館</x:v>
      </x:c>
      <x:c r="B42" s="27" t="str">
        <x:v>2020.0</x:v>
      </x:c>
      <x:c r="C42" s="27" t="str">
        <x:v>例行保養／清洗</x:v>
      </x:c>
      <x:c r="D42" s="27" t="n">
        <x:v>6</x:v>
      </x:c>
      <x:c r="E42" s="27" t="n">
        <x:v>0</x:v>
      </x:c>
      <x:c r="F42" s="27" t="n">
        <x:v>6</x:v>
      </x:c>
    </x:row>
    <x:row r="43">
      <x:c r="A43" s="27" t="str">
        <x:v>松濤一館</x:v>
      </x:c>
      <x:c r="B43" s="27" t="str">
        <x:v>2020.0</x:v>
      </x:c>
      <x:c r="C43" s="27" t="str">
        <x:v>故障修繕</x:v>
      </x:c>
      <x:c r="D43" s="27" t="n">
        <x:v>31</x:v>
      </x:c>
      <x:c r="E43" s="27" t="n">
        <x:v>31</x:v>
      </x:c>
      <x:c r="F43" s="27" t="n">
        <x:v>29</x:v>
      </x:c>
    </x:row>
    <x:row r="44">
      <x:c r="A44" s="27" t="str">
        <x:v>松濤一館</x:v>
      </x:c>
      <x:c r="B44" s="27" t="str">
        <x:v>2020.0</x:v>
      </x:c>
      <x:c r="C44" s="27" t="str">
        <x:v>檢查未發現故障</x:v>
      </x:c>
      <x:c r="D44" s="27" t="n">
        <x:v>12</x:v>
      </x:c>
      <x:c r="E44" s="27" t="n">
        <x:v>0</x:v>
      </x:c>
      <x:c r="F44" s="27" t="n">
        <x:v>11</x:v>
      </x:c>
    </x:row>
    <x:row r="45">
      <x:c r="A45" s="27" t="str">
        <x:v>松濤一館</x:v>
      </x:c>
      <x:c r="B45" s="27" t="str">
        <x:v>2020.0</x:v>
      </x:c>
      <x:c r="C45" s="27" t="str">
        <x:v>非冷氣設備</x:v>
      </x:c>
      <x:c r="D45" s="27" t="n">
        <x:v>1</x:v>
      </x:c>
      <x:c r="E45" s="27" t="n">
        <x:v>0</x:v>
      </x:c>
      <x:c r="F45" s="27" t="n">
        <x:v>0</x:v>
      </x:c>
    </x:row>
    <x:row r="46">
      <x:c r="A46" s="27" t="str">
        <x:v>松濤一館</x:v>
      </x:c>
      <x:c r="B46" s="27" t="str">
        <x:v>2021.0</x:v>
      </x:c>
      <x:c r="C46" s="27" t="str">
        <x:v>例行保養／清洗</x:v>
      </x:c>
      <x:c r="D46" s="27" t="n">
        <x:v>9</x:v>
      </x:c>
      <x:c r="E46" s="27" t="n">
        <x:v>0</x:v>
      </x:c>
      <x:c r="F46" s="27" t="n">
        <x:v>9</x:v>
      </x:c>
    </x:row>
    <x:row r="47">
      <x:c r="A47" s="27" t="str">
        <x:v>松濤一館</x:v>
      </x:c>
      <x:c r="B47" s="27" t="str">
        <x:v>2021.0</x:v>
      </x:c>
      <x:c r="C47" s="27" t="str">
        <x:v>故障修繕</x:v>
      </x:c>
      <x:c r="D47" s="27" t="n">
        <x:v>25</x:v>
      </x:c>
      <x:c r="E47" s="27" t="n">
        <x:v>25</x:v>
      </x:c>
      <x:c r="F47" s="27" t="n">
        <x:v>23</x:v>
      </x:c>
    </x:row>
    <x:row r="48">
      <x:c r="A48" s="27" t="str">
        <x:v>松濤一館</x:v>
      </x:c>
      <x:c r="B48" s="27" t="str">
        <x:v>2021.0</x:v>
      </x:c>
      <x:c r="C48" s="27" t="str">
        <x:v>檢查未發現故障</x:v>
      </x:c>
      <x:c r="D48" s="27" t="n">
        <x:v>4</x:v>
      </x:c>
      <x:c r="E48" s="27" t="n">
        <x:v>0</x:v>
      </x:c>
      <x:c r="F48" s="27" t="n">
        <x:v>4</x:v>
      </x:c>
    </x:row>
    <x:row r="49">
      <x:c r="A49" s="27" t="str">
        <x:v>松濤一館</x:v>
      </x:c>
      <x:c r="B49" s="27" t="str">
        <x:v>2022.0</x:v>
      </x:c>
      <x:c r="C49" s="27" t="str">
        <x:v>例行保養／清洗</x:v>
      </x:c>
      <x:c r="D49" s="27" t="n">
        <x:v>3</x:v>
      </x:c>
      <x:c r="E49" s="27" t="n">
        <x:v>0</x:v>
      </x:c>
      <x:c r="F49" s="27" t="n">
        <x:v>3</x:v>
      </x:c>
    </x:row>
    <x:row r="50">
      <x:c r="A50" s="27" t="str">
        <x:v>松濤一館</x:v>
      </x:c>
      <x:c r="B50" s="27" t="str">
        <x:v>2022.0</x:v>
      </x:c>
      <x:c r="C50" s="27" t="str">
        <x:v>故障修繕</x:v>
      </x:c>
      <x:c r="D50" s="27" t="n">
        <x:v>33</x:v>
      </x:c>
      <x:c r="E50" s="27" t="n">
        <x:v>33</x:v>
      </x:c>
      <x:c r="F50" s="27" t="n">
        <x:v>31</x:v>
      </x:c>
    </x:row>
    <x:row r="51">
      <x:c r="A51" s="27" t="str">
        <x:v>松濤一館</x:v>
      </x:c>
      <x:c r="B51" s="27" t="str">
        <x:v>2022.0</x:v>
      </x:c>
      <x:c r="C51" s="27" t="str">
        <x:v>檢查未發現故障</x:v>
      </x:c>
      <x:c r="D51" s="27" t="n">
        <x:v>6</x:v>
      </x:c>
      <x:c r="E51" s="27" t="n">
        <x:v>0</x:v>
      </x:c>
      <x:c r="F51" s="27" t="n">
        <x:v>6</x:v>
      </x:c>
    </x:row>
    <x:row r="52">
      <x:c r="A52" s="27" t="str">
        <x:v>松濤一館</x:v>
      </x:c>
      <x:c r="B52" s="27" t="str">
        <x:v>2022.0</x:v>
      </x:c>
      <x:c r="C52" s="27" t="str">
        <x:v>非冷氣設備</x:v>
      </x:c>
      <x:c r="D52" s="27" t="n">
        <x:v>3</x:v>
      </x:c>
      <x:c r="E52" s="27" t="n">
        <x:v>0</x:v>
      </x:c>
      <x:c r="F52" s="27" t="n">
        <x:v>0</x:v>
      </x:c>
    </x:row>
    <x:row r="53">
      <x:c r="A53" s="27" t="str">
        <x:v>松濤一館</x:v>
      </x:c>
      <x:c r="B53" s="27" t="str">
        <x:v>2023.0</x:v>
      </x:c>
      <x:c r="C53" s="27" t="str">
        <x:v>例行保養／清洗</x:v>
      </x:c>
      <x:c r="D53" s="27" t="n">
        <x:v>8</x:v>
      </x:c>
      <x:c r="E53" s="27" t="n">
        <x:v>0</x:v>
      </x:c>
      <x:c r="F53" s="27" t="n">
        <x:v>8</x:v>
      </x:c>
    </x:row>
    <x:row r="54">
      <x:c r="A54" s="27" t="str">
        <x:v>松濤一館</x:v>
      </x:c>
      <x:c r="B54" s="27" t="str">
        <x:v>2023.0</x:v>
      </x:c>
      <x:c r="C54" s="27" t="str">
        <x:v>故障修繕</x:v>
      </x:c>
      <x:c r="D54" s="27" t="n">
        <x:v>73</x:v>
      </x:c>
      <x:c r="E54" s="27" t="n">
        <x:v>73</x:v>
      </x:c>
      <x:c r="F54" s="27" t="n">
        <x:v>64</x:v>
      </x:c>
    </x:row>
    <x:row r="55">
      <x:c r="A55" s="27" t="str">
        <x:v>松濤一館</x:v>
      </x:c>
      <x:c r="B55" s="27" t="str">
        <x:v>2023.0</x:v>
      </x:c>
      <x:c r="C55" s="27" t="str">
        <x:v>檢查未發現故障</x:v>
      </x:c>
      <x:c r="D55" s="27" t="n">
        <x:v>16</x:v>
      </x:c>
      <x:c r="E55" s="27" t="n">
        <x:v>0</x:v>
      </x:c>
      <x:c r="F55" s="27" t="n">
        <x:v>15</x:v>
      </x:c>
    </x:row>
    <x:row r="56">
      <x:c r="A56" s="27" t="str">
        <x:v>松濤一館</x:v>
      </x:c>
      <x:c r="B56" s="27" t="str">
        <x:v>2023.0</x:v>
      </x:c>
      <x:c r="C56" s="27" t="str">
        <x:v>行政紀錄</x:v>
      </x:c>
      <x:c r="D56" s="27" t="n">
        <x:v>7</x:v>
      </x:c>
      <x:c r="E56" s="27" t="n">
        <x:v>0</x:v>
      </x:c>
      <x:c r="F56" s="27" t="n">
        <x:v>7</x:v>
      </x:c>
    </x:row>
    <x:row r="57">
      <x:c r="A57" s="27" t="str">
        <x:v>松濤一館</x:v>
      </x:c>
      <x:c r="B57" s="27" t="str">
        <x:v>2023.0</x:v>
      </x:c>
      <x:c r="C57" s="27" t="str">
        <x:v>非冷氣設備</x:v>
      </x:c>
      <x:c r="D57" s="27" t="n">
        <x:v>7</x:v>
      </x:c>
      <x:c r="E57" s="27" t="n">
        <x:v>0</x:v>
      </x:c>
      <x:c r="F57" s="27" t="n">
        <x:v>0</x:v>
      </x:c>
    </x:row>
    <x:row r="58">
      <x:c r="A58" s="27" t="str">
        <x:v>松濤一館</x:v>
      </x:c>
      <x:c r="B58" s="27" t="str">
        <x:v>2024.0</x:v>
      </x:c>
      <x:c r="C58" s="27" t="str">
        <x:v>例行保養／清洗</x:v>
      </x:c>
      <x:c r="D58" s="27" t="n">
        <x:v>10</x:v>
      </x:c>
      <x:c r="E58" s="27" t="n">
        <x:v>0</x:v>
      </x:c>
      <x:c r="F58" s="27" t="n">
        <x:v>10</x:v>
      </x:c>
    </x:row>
    <x:row r="59">
      <x:c r="A59" s="27" t="str">
        <x:v>松濤一館</x:v>
      </x:c>
      <x:c r="B59" s="27" t="str">
        <x:v>2024.0</x:v>
      </x:c>
      <x:c r="C59" s="27" t="str">
        <x:v>故障修繕</x:v>
      </x:c>
      <x:c r="D59" s="27" t="n">
        <x:v>72</x:v>
      </x:c>
      <x:c r="E59" s="27" t="n">
        <x:v>72</x:v>
      </x:c>
      <x:c r="F59" s="27" t="n">
        <x:v>72</x:v>
      </x:c>
    </x:row>
    <x:row r="60">
      <x:c r="A60" s="27" t="str">
        <x:v>松濤一館</x:v>
      </x:c>
      <x:c r="B60" s="27" t="str">
        <x:v>2024.0</x:v>
      </x:c>
      <x:c r="C60" s="27" t="str">
        <x:v>檢查未發現故障</x:v>
      </x:c>
      <x:c r="D60" s="27" t="n">
        <x:v>17</x:v>
      </x:c>
      <x:c r="E60" s="27" t="n">
        <x:v>0</x:v>
      </x:c>
      <x:c r="F60" s="27" t="n">
        <x:v>17</x:v>
      </x:c>
    </x:row>
    <x:row r="61">
      <x:c r="A61" s="27" t="str">
        <x:v>松濤一館</x:v>
      </x:c>
      <x:c r="B61" s="27" t="str">
        <x:v>2025.0</x:v>
      </x:c>
      <x:c r="C61" s="27" t="str">
        <x:v>例行保養／清洗</x:v>
      </x:c>
      <x:c r="D61" s="27" t="n">
        <x:v>5</x:v>
      </x:c>
      <x:c r="E61" s="27" t="n">
        <x:v>0</x:v>
      </x:c>
      <x:c r="F61" s="27" t="n">
        <x:v>5</x:v>
      </x:c>
    </x:row>
    <x:row r="62">
      <x:c r="A62" s="27" t="str">
        <x:v>松濤一館</x:v>
      </x:c>
      <x:c r="B62" s="27" t="str">
        <x:v>2025.0</x:v>
      </x:c>
      <x:c r="C62" s="27" t="str">
        <x:v>故障修繕</x:v>
      </x:c>
      <x:c r="D62" s="27" t="n">
        <x:v>59</x:v>
      </x:c>
      <x:c r="E62" s="27" t="n">
        <x:v>59</x:v>
      </x:c>
      <x:c r="F62" s="27" t="n">
        <x:v>59</x:v>
      </x:c>
    </x:row>
    <x:row r="63">
      <x:c r="A63" s="27" t="str">
        <x:v>松濤一館</x:v>
      </x:c>
      <x:c r="B63" s="27" t="str">
        <x:v>2025.0</x:v>
      </x:c>
      <x:c r="C63" s="27" t="str">
        <x:v>檢查未發現故障</x:v>
      </x:c>
      <x:c r="D63" s="27" t="n">
        <x:v>20</x:v>
      </x:c>
      <x:c r="E63" s="27" t="n">
        <x:v>0</x:v>
      </x:c>
      <x:c r="F63" s="27" t="n">
        <x:v>20</x:v>
      </x:c>
    </x:row>
    <x:row r="64">
      <x:c r="A64" s="27" t="str">
        <x:v>松濤一館</x:v>
      </x:c>
      <x:c r="B64" s="27" t="str">
        <x:v>2026.0</x:v>
      </x:c>
      <x:c r="C64" s="27" t="str">
        <x:v>例行保養／清洗</x:v>
      </x:c>
      <x:c r="D64" s="27" t="n">
        <x:v>3</x:v>
      </x:c>
      <x:c r="E64" s="27" t="n">
        <x:v>0</x:v>
      </x:c>
      <x:c r="F64" s="27" t="n">
        <x:v>3</x:v>
      </x:c>
    </x:row>
    <x:row r="65">
      <x:c r="A65" s="27" t="str">
        <x:v>松濤一館</x:v>
      </x:c>
      <x:c r="B65" s="27" t="str">
        <x:v>2026.0</x:v>
      </x:c>
      <x:c r="C65" s="27" t="str">
        <x:v>故障修繕</x:v>
      </x:c>
      <x:c r="D65" s="27" t="n">
        <x:v>19</x:v>
      </x:c>
      <x:c r="E65" s="27" t="n">
        <x:v>19</x:v>
      </x:c>
      <x:c r="F65" s="27" t="n">
        <x:v>19</x:v>
      </x:c>
    </x:row>
    <x:row r="66">
      <x:c r="A66" s="27" t="str">
        <x:v>松濤一館</x:v>
      </x:c>
      <x:c r="B66" s="27" t="str">
        <x:v>2026.0</x:v>
      </x:c>
      <x:c r="C66" s="27" t="str">
        <x:v>檢查未發現故障</x:v>
      </x:c>
      <x:c r="D66" s="27" t="n">
        <x:v>2</x:v>
      </x:c>
      <x:c r="E66" s="27" t="n">
        <x:v>0</x:v>
      </x:c>
      <x:c r="F66" s="27" t="n">
        <x:v>2</x:v>
      </x:c>
    </x:row>
    <x:row r="67">
      <x:c r="A67" s="27" t="str">
        <x:v>松濤一館</x:v>
      </x:c>
      <x:c r="B67" s="27" t="str">
        <x:v>2026.0</x:v>
      </x:c>
      <x:c r="C67" s="27" t="str">
        <x:v>非冷氣設備</x:v>
      </x:c>
      <x:c r="D67" s="27" t="n">
        <x:v>1</x:v>
      </x:c>
      <x:c r="E67" s="27" t="n">
        <x:v>0</x:v>
      </x:c>
      <x:c r="F67" s="27" t="n">
        <x:v>0</x:v>
      </x:c>
    </x:row>
    <x:row r="68">
      <x:c r="A68" s="27" t="str">
        <x:v>松濤一館</x:v>
      </x:c>
      <x:c r="B68" s="27" t="str">
        <x:v>日期缺漏</x:v>
      </x:c>
      <x:c r="C68" s="27" t="str">
        <x:v>例行保養／清洗</x:v>
      </x:c>
      <x:c r="D68" s="27" t="n">
        <x:v>1</x:v>
      </x:c>
      <x:c r="E68" s="27" t="n">
        <x:v>0</x:v>
      </x:c>
      <x:c r="F68" s="27" t="n">
        <x:v>1</x:v>
      </x:c>
    </x:row>
    <x:row r="69">
      <x:c r="A69" s="27" t="str">
        <x:v>松濤一館</x:v>
      </x:c>
      <x:c r="B69" s="27" t="str">
        <x:v>日期缺漏</x:v>
      </x:c>
      <x:c r="C69" s="27" t="str">
        <x:v>故障修繕</x:v>
      </x:c>
      <x:c r="D69" s="27" t="n">
        <x:v>3</x:v>
      </x:c>
      <x:c r="E69" s="27" t="n">
        <x:v>3</x:v>
      </x:c>
      <x:c r="F69" s="27" t="n">
        <x:v>3</x:v>
      </x:c>
    </x:row>
    <x:row r="70">
      <x:c r="A70" s="27" t="str">
        <x:v>松濤一館</x:v>
      </x:c>
      <x:c r="B70" s="27" t="str">
        <x:v>日期缺漏</x:v>
      </x:c>
      <x:c r="C70" s="27" t="str">
        <x:v>檢查未發現故障</x:v>
      </x:c>
      <x:c r="D70" s="27" t="n">
        <x:v>1</x:v>
      </x:c>
      <x:c r="E70" s="27" t="n">
        <x:v>0</x:v>
      </x:c>
      <x:c r="F70" s="27" t="n">
        <x:v>1</x:v>
      </x:c>
    </x:row>
    <x:row r="71">
      <x:c r="A71" s="27" t="str">
        <x:v>松濤三館</x:v>
      </x:c>
      <x:c r="B71" s="27" t="str">
        <x:v>2003.0</x:v>
      </x:c>
      <x:c r="C71" s="27" t="str">
        <x:v>故障修繕</x:v>
      </x:c>
      <x:c r="D71" s="27" t="n">
        <x:v>12</x:v>
      </x:c>
      <x:c r="E71" s="27" t="n">
        <x:v>12</x:v>
      </x:c>
      <x:c r="F71" s="27" t="n">
        <x:v>12</x:v>
      </x:c>
    </x:row>
    <x:row r="72">
      <x:c r="A72" s="27" t="str">
        <x:v>松濤三館</x:v>
      </x:c>
      <x:c r="B72" s="27" t="str">
        <x:v>2003.0</x:v>
      </x:c>
      <x:c r="C72" s="27" t="str">
        <x:v>非冷氣設備</x:v>
      </x:c>
      <x:c r="D72" s="27" t="n">
        <x:v>2</x:v>
      </x:c>
      <x:c r="E72" s="27" t="n">
        <x:v>0</x:v>
      </x:c>
      <x:c r="F72" s="27" t="n">
        <x:v>0</x:v>
      </x:c>
    </x:row>
    <x:row r="73">
      <x:c r="A73" s="27" t="str">
        <x:v>松濤三館</x:v>
      </x:c>
      <x:c r="B73" s="27" t="str">
        <x:v>2004.0</x:v>
      </x:c>
      <x:c r="C73" s="27" t="str">
        <x:v>故障修繕</x:v>
      </x:c>
      <x:c r="D73" s="27" t="n">
        <x:v>11</x:v>
      </x:c>
      <x:c r="E73" s="27" t="n">
        <x:v>11</x:v>
      </x:c>
      <x:c r="F73" s="27" t="n">
        <x:v>11</x:v>
      </x:c>
    </x:row>
    <x:row r="74">
      <x:c r="A74" s="27" t="str">
        <x:v>松濤三館</x:v>
      </x:c>
      <x:c r="B74" s="27" t="str">
        <x:v>2004.0</x:v>
      </x:c>
      <x:c r="C74" s="27" t="str">
        <x:v>非冷氣設備</x:v>
      </x:c>
      <x:c r="D74" s="27" t="n">
        <x:v>2</x:v>
      </x:c>
      <x:c r="E74" s="27" t="n">
        <x:v>0</x:v>
      </x:c>
      <x:c r="F74" s="27" t="n">
        <x:v>2</x:v>
      </x:c>
    </x:row>
    <x:row r="75">
      <x:c r="A75" s="27" t="str">
        <x:v>松濤三館</x:v>
      </x:c>
      <x:c r="B75" s="27" t="str">
        <x:v>2005.0</x:v>
      </x:c>
      <x:c r="C75" s="27" t="str">
        <x:v>故障修繕</x:v>
      </x:c>
      <x:c r="D75" s="27" t="n">
        <x:v>5</x:v>
      </x:c>
      <x:c r="E75" s="27" t="n">
        <x:v>5</x:v>
      </x:c>
      <x:c r="F75" s="27" t="n">
        <x:v>5</x:v>
      </x:c>
    </x:row>
    <x:row r="76">
      <x:c r="A76" s="27" t="str">
        <x:v>松濤三館</x:v>
      </x:c>
      <x:c r="B76" s="27" t="str">
        <x:v>2006.0</x:v>
      </x:c>
      <x:c r="C76" s="27" t="str">
        <x:v>故障修繕</x:v>
      </x:c>
      <x:c r="D76" s="27" t="n">
        <x:v>2</x:v>
      </x:c>
      <x:c r="E76" s="27" t="n">
        <x:v>2</x:v>
      </x:c>
      <x:c r="F76" s="27" t="n">
        <x:v>2</x:v>
      </x:c>
    </x:row>
    <x:row r="77">
      <x:c r="A77" s="27" t="str">
        <x:v>松濤三館</x:v>
      </x:c>
      <x:c r="B77" s="27" t="str">
        <x:v>2007.0</x:v>
      </x:c>
      <x:c r="C77" s="27" t="str">
        <x:v>故障修繕</x:v>
      </x:c>
      <x:c r="D77" s="27" t="n">
        <x:v>8</x:v>
      </x:c>
      <x:c r="E77" s="27" t="n">
        <x:v>8</x:v>
      </x:c>
      <x:c r="F77" s="27" t="n">
        <x:v>6</x:v>
      </x:c>
    </x:row>
    <x:row r="78">
      <x:c r="A78" s="27" t="str">
        <x:v>松濤三館</x:v>
      </x:c>
      <x:c r="B78" s="27" t="str">
        <x:v>2008.0</x:v>
      </x:c>
      <x:c r="C78" s="27" t="str">
        <x:v>故障修繕</x:v>
      </x:c>
      <x:c r="D78" s="27" t="n">
        <x:v>3</x:v>
      </x:c>
      <x:c r="E78" s="27" t="n">
        <x:v>3</x:v>
      </x:c>
      <x:c r="F78" s="27" t="n">
        <x:v>2</x:v>
      </x:c>
    </x:row>
    <x:row r="79">
      <x:c r="A79" s="27" t="str">
        <x:v>松濤三館</x:v>
      </x:c>
      <x:c r="B79" s="27" t="str">
        <x:v>2009.0</x:v>
      </x:c>
      <x:c r="C79" s="27" t="str">
        <x:v>故障修繕</x:v>
      </x:c>
      <x:c r="D79" s="27" t="n">
        <x:v>7</x:v>
      </x:c>
      <x:c r="E79" s="27" t="n">
        <x:v>7</x:v>
      </x:c>
      <x:c r="F79" s="27" t="n">
        <x:v>4</x:v>
      </x:c>
    </x:row>
    <x:row r="80">
      <x:c r="A80" s="27" t="str">
        <x:v>松濤三館</x:v>
      </x:c>
      <x:c r="B80" s="27" t="str">
        <x:v>2009.0</x:v>
      </x:c>
      <x:c r="C80" s="27" t="str">
        <x:v>非冷氣設備</x:v>
      </x:c>
      <x:c r="D80" s="27" t="n">
        <x:v>4</x:v>
      </x:c>
      <x:c r="E80" s="27" t="n">
        <x:v>0</x:v>
      </x:c>
      <x:c r="F80" s="27" t="n">
        <x:v>3</x:v>
      </x:c>
    </x:row>
    <x:row r="81">
      <x:c r="A81" s="27" t="str">
        <x:v>松濤三館</x:v>
      </x:c>
      <x:c r="B81" s="27" t="str">
        <x:v>2010.0</x:v>
      </x:c>
      <x:c r="C81" s="27" t="str">
        <x:v>故障修繕</x:v>
      </x:c>
      <x:c r="D81" s="27" t="n">
        <x:v>7</x:v>
      </x:c>
      <x:c r="E81" s="27" t="n">
        <x:v>7</x:v>
      </x:c>
      <x:c r="F81" s="27" t="n">
        <x:v>6</x:v>
      </x:c>
    </x:row>
    <x:row r="82">
      <x:c r="A82" s="27" t="str">
        <x:v>松濤三館</x:v>
      </x:c>
      <x:c r="B82" s="27" t="str">
        <x:v>2010.0</x:v>
      </x:c>
      <x:c r="C82" s="27" t="str">
        <x:v>檢查未發現故障</x:v>
      </x:c>
      <x:c r="D82" s="27" t="n">
        <x:v>2</x:v>
      </x:c>
      <x:c r="E82" s="27" t="n">
        <x:v>0</x:v>
      </x:c>
      <x:c r="F82" s="27" t="n">
        <x:v>2</x:v>
      </x:c>
    </x:row>
    <x:row r="83">
      <x:c r="A83" s="27" t="str">
        <x:v>松濤三館</x:v>
      </x:c>
      <x:c r="B83" s="27" t="str">
        <x:v>2010.0</x:v>
      </x:c>
      <x:c r="C83" s="27" t="str">
        <x:v>非冷氣設備</x:v>
      </x:c>
      <x:c r="D83" s="27" t="n">
        <x:v>2</x:v>
      </x:c>
      <x:c r="E83" s="27" t="n">
        <x:v>0</x:v>
      </x:c>
      <x:c r="F83" s="27" t="n">
        <x:v>0</x:v>
      </x:c>
    </x:row>
    <x:row r="84">
      <x:c r="A84" s="27" t="str">
        <x:v>松濤三館</x:v>
      </x:c>
      <x:c r="B84" s="27" t="str">
        <x:v>2011.0</x:v>
      </x:c>
      <x:c r="C84" s="27" t="str">
        <x:v>故障修繕</x:v>
      </x:c>
      <x:c r="D84" s="27" t="n">
        <x:v>1</x:v>
      </x:c>
      <x:c r="E84" s="27" t="n">
        <x:v>1</x:v>
      </x:c>
      <x:c r="F84" s="27" t="n">
        <x:v>1</x:v>
      </x:c>
    </x:row>
    <x:row r="85">
      <x:c r="A85" s="27" t="str">
        <x:v>松濤三館</x:v>
      </x:c>
      <x:c r="B85" s="27" t="str">
        <x:v>2012.0</x:v>
      </x:c>
      <x:c r="C85" s="27" t="str">
        <x:v>故障修繕</x:v>
      </x:c>
      <x:c r="D85" s="27" t="n">
        <x:v>18</x:v>
      </x:c>
      <x:c r="E85" s="27" t="n">
        <x:v>18</x:v>
      </x:c>
      <x:c r="F85" s="27" t="n">
        <x:v>15</x:v>
      </x:c>
    </x:row>
    <x:row r="86">
      <x:c r="A86" s="27" t="str">
        <x:v>松濤三館</x:v>
      </x:c>
      <x:c r="B86" s="27" t="str">
        <x:v>2012.0</x:v>
      </x:c>
      <x:c r="C86" s="27" t="str">
        <x:v>檢查未發現故障</x:v>
      </x:c>
      <x:c r="D86" s="27" t="n">
        <x:v>13</x:v>
      </x:c>
      <x:c r="E86" s="27" t="n">
        <x:v>0</x:v>
      </x:c>
      <x:c r="F86" s="27" t="n">
        <x:v>9</x:v>
      </x:c>
    </x:row>
    <x:row r="87">
      <x:c r="A87" s="27" t="str">
        <x:v>松濤三館</x:v>
      </x:c>
      <x:c r="B87" s="27" t="str">
        <x:v>2012.0</x:v>
      </x:c>
      <x:c r="C87" s="27" t="str">
        <x:v>非冷氣設備</x:v>
      </x:c>
      <x:c r="D87" s="27" t="n">
        <x:v>1</x:v>
      </x:c>
      <x:c r="E87" s="27" t="n">
        <x:v>0</x:v>
      </x:c>
      <x:c r="F87" s="27" t="n">
        <x:v>0</x:v>
      </x:c>
    </x:row>
    <x:row r="88">
      <x:c r="A88" s="27" t="str">
        <x:v>松濤三館</x:v>
      </x:c>
      <x:c r="B88" s="27" t="str">
        <x:v>2013.0</x:v>
      </x:c>
      <x:c r="C88" s="27" t="str">
        <x:v>故障修繕</x:v>
      </x:c>
      <x:c r="D88" s="27" t="n">
        <x:v>25</x:v>
      </x:c>
      <x:c r="E88" s="27" t="n">
        <x:v>25</x:v>
      </x:c>
      <x:c r="F88" s="27" t="n">
        <x:v>23</x:v>
      </x:c>
    </x:row>
    <x:row r="89">
      <x:c r="A89" s="27" t="str">
        <x:v>松濤三館</x:v>
      </x:c>
      <x:c r="B89" s="27" t="str">
        <x:v>2013.0</x:v>
      </x:c>
      <x:c r="C89" s="27" t="str">
        <x:v>檢查未發現故障</x:v>
      </x:c>
      <x:c r="D89" s="27" t="n">
        <x:v>2</x:v>
      </x:c>
      <x:c r="E89" s="27" t="n">
        <x:v>0</x:v>
      </x:c>
      <x:c r="F89" s="27" t="n">
        <x:v>2</x:v>
      </x:c>
    </x:row>
    <x:row r="90">
      <x:c r="A90" s="27" t="str">
        <x:v>松濤三館</x:v>
      </x:c>
      <x:c r="B90" s="27" t="str">
        <x:v>2013.0</x:v>
      </x:c>
      <x:c r="C90" s="27" t="str">
        <x:v>非冷氣設備</x:v>
      </x:c>
      <x:c r="D90" s="27" t="n">
        <x:v>1</x:v>
      </x:c>
      <x:c r="E90" s="27" t="n">
        <x:v>0</x:v>
      </x:c>
      <x:c r="F90" s="27" t="n">
        <x:v>0</x:v>
      </x:c>
    </x:row>
    <x:row r="91">
      <x:c r="A91" s="27" t="str">
        <x:v>松濤三館</x:v>
      </x:c>
      <x:c r="B91" s="27" t="str">
        <x:v>2014.0</x:v>
      </x:c>
      <x:c r="C91" s="27" t="str">
        <x:v>故障修繕</x:v>
      </x:c>
      <x:c r="D91" s="27" t="n">
        <x:v>11</x:v>
      </x:c>
      <x:c r="E91" s="27" t="n">
        <x:v>11</x:v>
      </x:c>
      <x:c r="F91" s="27" t="n">
        <x:v>8</x:v>
      </x:c>
    </x:row>
    <x:row r="92">
      <x:c r="A92" s="27" t="str">
        <x:v>松濤三館</x:v>
      </x:c>
      <x:c r="B92" s="27" t="str">
        <x:v>2014.0</x:v>
      </x:c>
      <x:c r="C92" s="27" t="str">
        <x:v>檢查未發現故障</x:v>
      </x:c>
      <x:c r="D92" s="27" t="n">
        <x:v>3</x:v>
      </x:c>
      <x:c r="E92" s="27" t="n">
        <x:v>0</x:v>
      </x:c>
      <x:c r="F92" s="27" t="n">
        <x:v>2</x:v>
      </x:c>
    </x:row>
    <x:row r="93">
      <x:c r="A93" s="27" t="str">
        <x:v>松濤三館</x:v>
      </x:c>
      <x:c r="B93" s="27" t="str">
        <x:v>2014.0</x:v>
      </x:c>
      <x:c r="C93" s="27" t="str">
        <x:v>非冷氣設備</x:v>
      </x:c>
      <x:c r="D93" s="27" t="n">
        <x:v>2</x:v>
      </x:c>
      <x:c r="E93" s="27" t="n">
        <x:v>0</x:v>
      </x:c>
      <x:c r="F93" s="27" t="n">
        <x:v>0</x:v>
      </x:c>
    </x:row>
    <x:row r="94">
      <x:c r="A94" s="27" t="str">
        <x:v>松濤三館</x:v>
      </x:c>
      <x:c r="B94" s="27" t="str">
        <x:v>2015.0</x:v>
      </x:c>
      <x:c r="C94" s="27" t="str">
        <x:v>故障修繕</x:v>
      </x:c>
      <x:c r="D94" s="27" t="n">
        <x:v>27</x:v>
      </x:c>
      <x:c r="E94" s="27" t="n">
        <x:v>27</x:v>
      </x:c>
      <x:c r="F94" s="27" t="n">
        <x:v>21</x:v>
      </x:c>
    </x:row>
    <x:row r="95">
      <x:c r="A95" s="27" t="str">
        <x:v>松濤三館</x:v>
      </x:c>
      <x:c r="B95" s="27" t="str">
        <x:v>2015.0</x:v>
      </x:c>
      <x:c r="C95" s="27" t="str">
        <x:v>檢查未發現故障</x:v>
      </x:c>
      <x:c r="D95" s="27" t="n">
        <x:v>4</x:v>
      </x:c>
      <x:c r="E95" s="27" t="n">
        <x:v>0</x:v>
      </x:c>
      <x:c r="F95" s="27" t="n">
        <x:v>4</x:v>
      </x:c>
    </x:row>
    <x:row r="96">
      <x:c r="A96" s="27" t="str">
        <x:v>松濤三館</x:v>
      </x:c>
      <x:c r="B96" s="27" t="str">
        <x:v>2015.0</x:v>
      </x:c>
      <x:c r="C96" s="27" t="str">
        <x:v>非冷氣設備</x:v>
      </x:c>
      <x:c r="D96" s="27" t="n">
        <x:v>1</x:v>
      </x:c>
      <x:c r="E96" s="27" t="n">
        <x:v>0</x:v>
      </x:c>
      <x:c r="F96" s="27" t="n">
        <x:v>0</x:v>
      </x:c>
    </x:row>
    <x:row r="97">
      <x:c r="A97" s="27" t="str">
        <x:v>松濤三館</x:v>
      </x:c>
      <x:c r="B97" s="27" t="str">
        <x:v>2016.0</x:v>
      </x:c>
      <x:c r="C97" s="27" t="str">
        <x:v>例行保養／清洗</x:v>
      </x:c>
      <x:c r="D97" s="27" t="n">
        <x:v>1</x:v>
      </x:c>
      <x:c r="E97" s="27" t="n">
        <x:v>0</x:v>
      </x:c>
      <x:c r="F97" s="27" t="n">
        <x:v>0</x:v>
      </x:c>
    </x:row>
    <x:row r="98">
      <x:c r="A98" s="27" t="str">
        <x:v>松濤三館</x:v>
      </x:c>
      <x:c r="B98" s="27" t="str">
        <x:v>2016.0</x:v>
      </x:c>
      <x:c r="C98" s="27" t="str">
        <x:v>故障修繕</x:v>
      </x:c>
      <x:c r="D98" s="27" t="n">
        <x:v>34</x:v>
      </x:c>
      <x:c r="E98" s="27" t="n">
        <x:v>34</x:v>
      </x:c>
      <x:c r="F98" s="27" t="n">
        <x:v>29</x:v>
      </x:c>
    </x:row>
    <x:row r="99">
      <x:c r="A99" s="27" t="str">
        <x:v>松濤三館</x:v>
      </x:c>
      <x:c r="B99" s="27" t="str">
        <x:v>2016.0</x:v>
      </x:c>
      <x:c r="C99" s="27" t="str">
        <x:v>檢查未發現故障</x:v>
      </x:c>
      <x:c r="D99" s="27" t="n">
        <x:v>16</x:v>
      </x:c>
      <x:c r="E99" s="27" t="n">
        <x:v>0</x:v>
      </x:c>
      <x:c r="F99" s="27" t="n">
        <x:v>15</x:v>
      </x:c>
    </x:row>
    <x:row r="100">
      <x:c r="A100" s="27" t="str">
        <x:v>松濤三館</x:v>
      </x:c>
      <x:c r="B100" s="27" t="str">
        <x:v>2016.0</x:v>
      </x:c>
      <x:c r="C100" s="27" t="str">
        <x:v>非冷氣設備</x:v>
      </x:c>
      <x:c r="D100" s="27" t="n">
        <x:v>7</x:v>
      </x:c>
      <x:c r="E100" s="27" t="n">
        <x:v>0</x:v>
      </x:c>
      <x:c r="F100" s="27" t="n">
        <x:v>0</x:v>
      </x:c>
    </x:row>
    <x:row r="101">
      <x:c r="A101" s="27" t="str">
        <x:v>松濤三館</x:v>
      </x:c>
      <x:c r="B101" s="27" t="str">
        <x:v>2017.0</x:v>
      </x:c>
      <x:c r="C101" s="27" t="str">
        <x:v>例行保養／清洗</x:v>
      </x:c>
      <x:c r="D101" s="27" t="n">
        <x:v>6</x:v>
      </x:c>
      <x:c r="E101" s="27" t="n">
        <x:v>0</x:v>
      </x:c>
      <x:c r="F101" s="27" t="n">
        <x:v>4</x:v>
      </x:c>
    </x:row>
    <x:row r="102">
      <x:c r="A102" s="27" t="str">
        <x:v>松濤三館</x:v>
      </x:c>
      <x:c r="B102" s="27" t="str">
        <x:v>2017.0</x:v>
      </x:c>
      <x:c r="C102" s="27" t="str">
        <x:v>故障修繕</x:v>
      </x:c>
      <x:c r="D102" s="27" t="n">
        <x:v>37</x:v>
      </x:c>
      <x:c r="E102" s="27" t="n">
        <x:v>37</x:v>
      </x:c>
      <x:c r="F102" s="27" t="n">
        <x:v>27</x:v>
      </x:c>
    </x:row>
    <x:row r="103">
      <x:c r="A103" s="27" t="str">
        <x:v>松濤三館</x:v>
      </x:c>
      <x:c r="B103" s="27" t="str">
        <x:v>2017.0</x:v>
      </x:c>
      <x:c r="C103" s="27" t="str">
        <x:v>檢查未發現故障</x:v>
      </x:c>
      <x:c r="D103" s="27" t="n">
        <x:v>4</x:v>
      </x:c>
      <x:c r="E103" s="27" t="n">
        <x:v>0</x:v>
      </x:c>
      <x:c r="F103" s="27" t="n">
        <x:v>3</x:v>
      </x:c>
    </x:row>
    <x:row r="104">
      <x:c r="A104" s="27" t="str">
        <x:v>松濤三館</x:v>
      </x:c>
      <x:c r="B104" s="27" t="str">
        <x:v>2017.0</x:v>
      </x:c>
      <x:c r="C104" s="27" t="str">
        <x:v>非冷氣設備</x:v>
      </x:c>
      <x:c r="D104" s="27" t="n">
        <x:v>2</x:v>
      </x:c>
      <x:c r="E104" s="27" t="n">
        <x:v>0</x:v>
      </x:c>
      <x:c r="F104" s="27" t="n">
        <x:v>0</x:v>
      </x:c>
    </x:row>
    <x:row r="105">
      <x:c r="A105" s="27" t="str">
        <x:v>松濤三館</x:v>
      </x:c>
      <x:c r="B105" s="27" t="str">
        <x:v>2018.0</x:v>
      </x:c>
      <x:c r="C105" s="27" t="str">
        <x:v>例行保養／清洗</x:v>
      </x:c>
      <x:c r="D105" s="27" t="n">
        <x:v>3</x:v>
      </x:c>
      <x:c r="E105" s="27" t="n">
        <x:v>0</x:v>
      </x:c>
      <x:c r="F105" s="27" t="n">
        <x:v>0</x:v>
      </x:c>
    </x:row>
    <x:row r="106">
      <x:c r="A106" s="27" t="str">
        <x:v>松濤三館</x:v>
      </x:c>
      <x:c r="B106" s="27" t="str">
        <x:v>2018.0</x:v>
      </x:c>
      <x:c r="C106" s="27" t="str">
        <x:v>故障修繕</x:v>
      </x:c>
      <x:c r="D106" s="27" t="n">
        <x:v>51</x:v>
      </x:c>
      <x:c r="E106" s="27" t="n">
        <x:v>51</x:v>
      </x:c>
      <x:c r="F106" s="27" t="n">
        <x:v>43</x:v>
      </x:c>
    </x:row>
    <x:row r="107">
      <x:c r="A107" s="27" t="str">
        <x:v>松濤三館</x:v>
      </x:c>
      <x:c r="B107" s="27" t="str">
        <x:v>2018.0</x:v>
      </x:c>
      <x:c r="C107" s="27" t="str">
        <x:v>檢查未發現故障</x:v>
      </x:c>
      <x:c r="D107" s="27" t="n">
        <x:v>8</x:v>
      </x:c>
      <x:c r="E107" s="27" t="n">
        <x:v>0</x:v>
      </x:c>
      <x:c r="F107" s="27" t="n">
        <x:v>7</x:v>
      </x:c>
    </x:row>
    <x:row r="108">
      <x:c r="A108" s="27" t="str">
        <x:v>松濤三館</x:v>
      </x:c>
      <x:c r="B108" s="27" t="str">
        <x:v>2018.0</x:v>
      </x:c>
      <x:c r="C108" s="27" t="str">
        <x:v>非冷氣設備</x:v>
      </x:c>
      <x:c r="D108" s="27" t="n">
        <x:v>2</x:v>
      </x:c>
      <x:c r="E108" s="27" t="n">
        <x:v>0</x:v>
      </x:c>
      <x:c r="F108" s="27" t="n">
        <x:v>0</x:v>
      </x:c>
    </x:row>
    <x:row r="109">
      <x:c r="A109" s="27" t="str">
        <x:v>松濤三館</x:v>
      </x:c>
      <x:c r="B109" s="27" t="str">
        <x:v>2019.0</x:v>
      </x:c>
      <x:c r="C109" s="27" t="str">
        <x:v>例行保養／清洗</x:v>
      </x:c>
      <x:c r="D109" s="27" t="n">
        <x:v>4</x:v>
      </x:c>
      <x:c r="E109" s="27" t="n">
        <x:v>0</x:v>
      </x:c>
      <x:c r="F109" s="27" t="n">
        <x:v>3</x:v>
      </x:c>
    </x:row>
    <x:row r="110">
      <x:c r="A110" s="27" t="str">
        <x:v>松濤三館</x:v>
      </x:c>
      <x:c r="B110" s="27" t="str">
        <x:v>2019.0</x:v>
      </x:c>
      <x:c r="C110" s="27" t="str">
        <x:v>故障修繕</x:v>
      </x:c>
      <x:c r="D110" s="27" t="n">
        <x:v>35</x:v>
      </x:c>
      <x:c r="E110" s="27" t="n">
        <x:v>35</x:v>
      </x:c>
      <x:c r="F110" s="27" t="n">
        <x:v>32</x:v>
      </x:c>
    </x:row>
    <x:row r="111">
      <x:c r="A111" s="27" t="str">
        <x:v>松濤三館</x:v>
      </x:c>
      <x:c r="B111" s="27" t="str">
        <x:v>2019.0</x:v>
      </x:c>
      <x:c r="C111" s="27" t="str">
        <x:v>檢查未發現故障</x:v>
      </x:c>
      <x:c r="D111" s="27" t="n">
        <x:v>9</x:v>
      </x:c>
      <x:c r="E111" s="27" t="n">
        <x:v>0</x:v>
      </x:c>
      <x:c r="F111" s="27" t="n">
        <x:v>9</x:v>
      </x:c>
    </x:row>
    <x:row r="112">
      <x:c r="A112" s="27" t="str">
        <x:v>松濤三館</x:v>
      </x:c>
      <x:c r="B112" s="27" t="str">
        <x:v>2019.0</x:v>
      </x:c>
      <x:c r="C112" s="27" t="str">
        <x:v>非冷氣設備</x:v>
      </x:c>
      <x:c r="D112" s="27" t="n">
        <x:v>2</x:v>
      </x:c>
      <x:c r="E112" s="27" t="n">
        <x:v>0</x:v>
      </x:c>
      <x:c r="F112" s="27" t="n">
        <x:v>0</x:v>
      </x:c>
    </x:row>
    <x:row r="113">
      <x:c r="A113" s="27" t="str">
        <x:v>松濤三館</x:v>
      </x:c>
      <x:c r="B113" s="27" t="str">
        <x:v>2020.0</x:v>
      </x:c>
      <x:c r="C113" s="27" t="str">
        <x:v>例行保養／清洗</x:v>
      </x:c>
      <x:c r="D113" s="27" t="n">
        <x:v>10</x:v>
      </x:c>
      <x:c r="E113" s="27" t="n">
        <x:v>0</x:v>
      </x:c>
      <x:c r="F113" s="27" t="n">
        <x:v>8</x:v>
      </x:c>
    </x:row>
    <x:row r="114">
      <x:c r="A114" s="27" t="str">
        <x:v>松濤三館</x:v>
      </x:c>
      <x:c r="B114" s="27" t="str">
        <x:v>2020.0</x:v>
      </x:c>
      <x:c r="C114" s="27" t="str">
        <x:v>故障修繕</x:v>
      </x:c>
      <x:c r="D114" s="27" t="n">
        <x:v>36</x:v>
      </x:c>
      <x:c r="E114" s="27" t="n">
        <x:v>36</x:v>
      </x:c>
      <x:c r="F114" s="27" t="n">
        <x:v>31</x:v>
      </x:c>
    </x:row>
    <x:row r="115">
      <x:c r="A115" s="27" t="str">
        <x:v>松濤三館</x:v>
      </x:c>
      <x:c r="B115" s="27" t="str">
        <x:v>2020.0</x:v>
      </x:c>
      <x:c r="C115" s="27" t="str">
        <x:v>檢查未發現故障</x:v>
      </x:c>
      <x:c r="D115" s="27" t="n">
        <x:v>20</x:v>
      </x:c>
      <x:c r="E115" s="27" t="n">
        <x:v>0</x:v>
      </x:c>
      <x:c r="F115" s="27" t="n">
        <x:v>20</x:v>
      </x:c>
    </x:row>
    <x:row r="116">
      <x:c r="A116" s="27" t="str">
        <x:v>松濤三館</x:v>
      </x:c>
      <x:c r="B116" s="27" t="str">
        <x:v>2020.0</x:v>
      </x:c>
      <x:c r="C116" s="27" t="str">
        <x:v>非冷氣設備</x:v>
      </x:c>
      <x:c r="D116" s="27" t="n">
        <x:v>2</x:v>
      </x:c>
      <x:c r="E116" s="27" t="n">
        <x:v>0</x:v>
      </x:c>
      <x:c r="F116" s="27" t="n">
        <x:v>0</x:v>
      </x:c>
    </x:row>
    <x:row r="117">
      <x:c r="A117" s="27" t="str">
        <x:v>松濤三館</x:v>
      </x:c>
      <x:c r="B117" s="27" t="str">
        <x:v>2021.0</x:v>
      </x:c>
      <x:c r="C117" s="27" t="str">
        <x:v>例行保養／清洗</x:v>
      </x:c>
      <x:c r="D117" s="27" t="n">
        <x:v>11</x:v>
      </x:c>
      <x:c r="E117" s="27" t="n">
        <x:v>0</x:v>
      </x:c>
      <x:c r="F117" s="27" t="n">
        <x:v>9</x:v>
      </x:c>
    </x:row>
    <x:row r="118">
      <x:c r="A118" s="27" t="str">
        <x:v>松濤三館</x:v>
      </x:c>
      <x:c r="B118" s="27" t="str">
        <x:v>2021.0</x:v>
      </x:c>
      <x:c r="C118" s="27" t="str">
        <x:v>故障修繕</x:v>
      </x:c>
      <x:c r="D118" s="27" t="n">
        <x:v>35</x:v>
      </x:c>
      <x:c r="E118" s="27" t="n">
        <x:v>35</x:v>
      </x:c>
      <x:c r="F118" s="27" t="n">
        <x:v>31</x:v>
      </x:c>
    </x:row>
    <x:row r="119">
      <x:c r="A119" s="27" t="str">
        <x:v>松濤三館</x:v>
      </x:c>
      <x:c r="B119" s="27" t="str">
        <x:v>2021.0</x:v>
      </x:c>
      <x:c r="C119" s="27" t="str">
        <x:v>檢查未發現故障</x:v>
      </x:c>
      <x:c r="D119" s="27" t="n">
        <x:v>6</x:v>
      </x:c>
      <x:c r="E119" s="27" t="n">
        <x:v>0</x:v>
      </x:c>
      <x:c r="F119" s="27" t="n">
        <x:v>6</x:v>
      </x:c>
    </x:row>
    <x:row r="120">
      <x:c r="A120" s="27" t="str">
        <x:v>松濤三館</x:v>
      </x:c>
      <x:c r="B120" s="27" t="str">
        <x:v>2021.0</x:v>
      </x:c>
      <x:c r="C120" s="27" t="str">
        <x:v>非冷氣設備</x:v>
      </x:c>
      <x:c r="D120" s="27" t="n">
        <x:v>4</x:v>
      </x:c>
      <x:c r="E120" s="27" t="n">
        <x:v>0</x:v>
      </x:c>
      <x:c r="F120" s="27" t="n">
        <x:v>0</x:v>
      </x:c>
    </x:row>
    <x:row r="121">
      <x:c r="A121" s="27" t="str">
        <x:v>松濤三館</x:v>
      </x:c>
      <x:c r="B121" s="27" t="str">
        <x:v>2022.0</x:v>
      </x:c>
      <x:c r="C121" s="27" t="str">
        <x:v>例行保養／清洗</x:v>
      </x:c>
      <x:c r="D121" s="27" t="n">
        <x:v>8</x:v>
      </x:c>
      <x:c r="E121" s="27" t="n">
        <x:v>0</x:v>
      </x:c>
      <x:c r="F121" s="27" t="n">
        <x:v>7</x:v>
      </x:c>
    </x:row>
    <x:row r="122">
      <x:c r="A122" s="27" t="str">
        <x:v>松濤三館</x:v>
      </x:c>
      <x:c r="B122" s="27" t="str">
        <x:v>2022.0</x:v>
      </x:c>
      <x:c r="C122" s="27" t="str">
        <x:v>故障修繕</x:v>
      </x:c>
      <x:c r="D122" s="27" t="n">
        <x:v>33</x:v>
      </x:c>
      <x:c r="E122" s="27" t="n">
        <x:v>33</x:v>
      </x:c>
      <x:c r="F122" s="27" t="n">
        <x:v>27</x:v>
      </x:c>
    </x:row>
    <x:row r="123">
      <x:c r="A123" s="27" t="str">
        <x:v>松濤三館</x:v>
      </x:c>
      <x:c r="B123" s="27" t="str">
        <x:v>2022.0</x:v>
      </x:c>
      <x:c r="C123" s="27" t="str">
        <x:v>檢查未發現故障</x:v>
      </x:c>
      <x:c r="D123" s="27" t="n">
        <x:v>15</x:v>
      </x:c>
      <x:c r="E123" s="27" t="n">
        <x:v>0</x:v>
      </x:c>
      <x:c r="F123" s="27" t="n">
        <x:v>12</x:v>
      </x:c>
    </x:row>
    <x:row r="124">
      <x:c r="A124" s="27" t="str">
        <x:v>松濤三館</x:v>
      </x:c>
      <x:c r="B124" s="27" t="str">
        <x:v>2022.0</x:v>
      </x:c>
      <x:c r="C124" s="27" t="str">
        <x:v>非冷氣設備</x:v>
      </x:c>
      <x:c r="D124" s="27" t="n">
        <x:v>3</x:v>
      </x:c>
      <x:c r="E124" s="27" t="n">
        <x:v>0</x:v>
      </x:c>
      <x:c r="F124" s="27" t="n">
        <x:v>0</x:v>
      </x:c>
    </x:row>
    <x:row r="125">
      <x:c r="A125" s="27" t="str">
        <x:v>松濤三館</x:v>
      </x:c>
      <x:c r="B125" s="27" t="str">
        <x:v>2023.0</x:v>
      </x:c>
      <x:c r="C125" s="27" t="str">
        <x:v>例行保養／清洗</x:v>
      </x:c>
      <x:c r="D125" s="27" t="n">
        <x:v>9</x:v>
      </x:c>
      <x:c r="E125" s="27" t="n">
        <x:v>0</x:v>
      </x:c>
      <x:c r="F125" s="27" t="n">
        <x:v>7</x:v>
      </x:c>
    </x:row>
    <x:row r="126">
      <x:c r="A126" s="27" t="str">
        <x:v>松濤三館</x:v>
      </x:c>
      <x:c r="B126" s="27" t="str">
        <x:v>2023.0</x:v>
      </x:c>
      <x:c r="C126" s="27" t="str">
        <x:v>故障修繕</x:v>
      </x:c>
      <x:c r="D126" s="27" t="n">
        <x:v>55</x:v>
      </x:c>
      <x:c r="E126" s="27" t="n">
        <x:v>55</x:v>
      </x:c>
      <x:c r="F126" s="27" t="n">
        <x:v>35</x:v>
      </x:c>
    </x:row>
    <x:row r="127">
      <x:c r="A127" s="27" t="str">
        <x:v>松濤三館</x:v>
      </x:c>
      <x:c r="B127" s="27" t="str">
        <x:v>2023.0</x:v>
      </x:c>
      <x:c r="C127" s="27" t="str">
        <x:v>檢查未發現故障</x:v>
      </x:c>
      <x:c r="D127" s="27" t="n">
        <x:v>19</x:v>
      </x:c>
      <x:c r="E127" s="27" t="n">
        <x:v>0</x:v>
      </x:c>
      <x:c r="F127" s="27" t="n">
        <x:v>18</x:v>
      </x:c>
    </x:row>
    <x:row r="128">
      <x:c r="A128" s="27" t="str">
        <x:v>松濤三館</x:v>
      </x:c>
      <x:c r="B128" s="27" t="str">
        <x:v>2023.0</x:v>
      </x:c>
      <x:c r="C128" s="27" t="str">
        <x:v>非冷氣設備</x:v>
      </x:c>
      <x:c r="D128" s="27" t="n">
        <x:v>2</x:v>
      </x:c>
      <x:c r="E128" s="27" t="n">
        <x:v>0</x:v>
      </x:c>
      <x:c r="F128" s="27" t="n">
        <x:v>0</x:v>
      </x:c>
    </x:row>
    <x:row r="129">
      <x:c r="A129" s="27" t="str">
        <x:v>松濤三館</x:v>
      </x:c>
      <x:c r="B129" s="27" t="str">
        <x:v>2024.0</x:v>
      </x:c>
      <x:c r="C129" s="27" t="str">
        <x:v>例行保養／清洗</x:v>
      </x:c>
      <x:c r="D129" s="27" t="n">
        <x:v>8</x:v>
      </x:c>
      <x:c r="E129" s="27" t="n">
        <x:v>0</x:v>
      </x:c>
      <x:c r="F129" s="27" t="n">
        <x:v>7</x:v>
      </x:c>
    </x:row>
    <x:row r="130">
      <x:c r="A130" s="27" t="str">
        <x:v>松濤三館</x:v>
      </x:c>
      <x:c r="B130" s="27" t="str">
        <x:v>2024.0</x:v>
      </x:c>
      <x:c r="C130" s="27" t="str">
        <x:v>故障修繕</x:v>
      </x:c>
      <x:c r="D130" s="27" t="n">
        <x:v>65</x:v>
      </x:c>
      <x:c r="E130" s="27" t="n">
        <x:v>65</x:v>
      </x:c>
      <x:c r="F130" s="27" t="n">
        <x:v>65</x:v>
      </x:c>
    </x:row>
    <x:row r="131">
      <x:c r="A131" s="27" t="str">
        <x:v>松濤三館</x:v>
      </x:c>
      <x:c r="B131" s="27" t="str">
        <x:v>2024.0</x:v>
      </x:c>
      <x:c r="C131" s="27" t="str">
        <x:v>檢查未發現故障</x:v>
      </x:c>
      <x:c r="D131" s="27" t="n">
        <x:v>13</x:v>
      </x:c>
      <x:c r="E131" s="27" t="n">
        <x:v>0</x:v>
      </x:c>
      <x:c r="F131" s="27" t="n">
        <x:v>12</x:v>
      </x:c>
    </x:row>
    <x:row r="132">
      <x:c r="A132" s="27" t="str">
        <x:v>松濤三館</x:v>
      </x:c>
      <x:c r="B132" s="27" t="str">
        <x:v>2024.0</x:v>
      </x:c>
      <x:c r="C132" s="27" t="str">
        <x:v>非冷氣設備</x:v>
      </x:c>
      <x:c r="D132" s="27" t="n">
        <x:v>1</x:v>
      </x:c>
      <x:c r="E132" s="27" t="n">
        <x:v>0</x:v>
      </x:c>
      <x:c r="F132" s="27" t="n">
        <x:v>0</x:v>
      </x:c>
    </x:row>
    <x:row r="133">
      <x:c r="A133" s="27" t="str">
        <x:v>松濤三館</x:v>
      </x:c>
      <x:c r="B133" s="27" t="str">
        <x:v>2025.0</x:v>
      </x:c>
      <x:c r="C133" s="27" t="str">
        <x:v>例行保養／清洗</x:v>
      </x:c>
      <x:c r="D133" s="27" t="n">
        <x:v>4</x:v>
      </x:c>
      <x:c r="E133" s="27" t="n">
        <x:v>0</x:v>
      </x:c>
      <x:c r="F133" s="27" t="n">
        <x:v>3</x:v>
      </x:c>
    </x:row>
    <x:row r="134">
      <x:c r="A134" s="27" t="str">
        <x:v>松濤三館</x:v>
      </x:c>
      <x:c r="B134" s="27" t="str">
        <x:v>2025.0</x:v>
      </x:c>
      <x:c r="C134" s="27" t="str">
        <x:v>故障修繕</x:v>
      </x:c>
      <x:c r="D134" s="27" t="n">
        <x:v>50</x:v>
      </x:c>
      <x:c r="E134" s="27" t="n">
        <x:v>50</x:v>
      </x:c>
      <x:c r="F134" s="27" t="n">
        <x:v>49</x:v>
      </x:c>
    </x:row>
    <x:row r="135">
      <x:c r="A135" s="27" t="str">
        <x:v>松濤三館</x:v>
      </x:c>
      <x:c r="B135" s="27" t="str">
        <x:v>2025.0</x:v>
      </x:c>
      <x:c r="C135" s="27" t="str">
        <x:v>檢查未發現故障</x:v>
      </x:c>
      <x:c r="D135" s="27" t="n">
        <x:v>17</x:v>
      </x:c>
      <x:c r="E135" s="27" t="n">
        <x:v>0</x:v>
      </x:c>
      <x:c r="F135" s="27" t="n">
        <x:v>17</x:v>
      </x:c>
    </x:row>
    <x:row r="136">
      <x:c r="A136" s="27" t="str">
        <x:v>松濤三館</x:v>
      </x:c>
      <x:c r="B136" s="27" t="str">
        <x:v>2025.0</x:v>
      </x:c>
      <x:c r="C136" s="27" t="str">
        <x:v>行政紀錄</x:v>
      </x:c>
      <x:c r="D136" s="27" t="n">
        <x:v>1</x:v>
      </x:c>
      <x:c r="E136" s="27" t="n">
        <x:v>0</x:v>
      </x:c>
      <x:c r="F136" s="27" t="n">
        <x:v>1</x:v>
      </x:c>
    </x:row>
    <x:row r="137">
      <x:c r="A137" s="27" t="str">
        <x:v>松濤三館</x:v>
      </x:c>
      <x:c r="B137" s="27" t="str">
        <x:v>2026.0</x:v>
      </x:c>
      <x:c r="C137" s="27" t="str">
        <x:v>例行保養／清洗</x:v>
      </x:c>
      <x:c r="D137" s="27" t="n">
        <x:v>2</x:v>
      </x:c>
      <x:c r="E137" s="27" t="n">
        <x:v>0</x:v>
      </x:c>
      <x:c r="F137" s="27" t="n">
        <x:v>1</x:v>
      </x:c>
    </x:row>
    <x:row r="138">
      <x:c r="A138" s="27" t="str">
        <x:v>松濤三館</x:v>
      </x:c>
      <x:c r="B138" s="27" t="str">
        <x:v>2026.0</x:v>
      </x:c>
      <x:c r="C138" s="27" t="str">
        <x:v>故障修繕</x:v>
      </x:c>
      <x:c r="D138" s="27" t="n">
        <x:v>12</x:v>
      </x:c>
      <x:c r="E138" s="27" t="n">
        <x:v>12</x:v>
      </x:c>
      <x:c r="F138" s="27" t="n">
        <x:v>11</x:v>
      </x:c>
    </x:row>
    <x:row r="139">
      <x:c r="A139" s="27" t="str">
        <x:v>松濤三館</x:v>
      </x:c>
      <x:c r="B139" s="27" t="str">
        <x:v>2026.0</x:v>
      </x:c>
      <x:c r="C139" s="27" t="str">
        <x:v>檢查未發現故障</x:v>
      </x:c>
      <x:c r="D139" s="27" t="n">
        <x:v>5</x:v>
      </x:c>
      <x:c r="E139" s="27" t="n">
        <x:v>0</x:v>
      </x:c>
      <x:c r="F139" s="27" t="n">
        <x:v>5</x:v>
      </x:c>
    </x:row>
    <x:row r="140">
      <x:c r="A140" s="27" t="str">
        <x:v>松濤三館</x:v>
      </x:c>
      <x:c r="B140" s="27" t="str">
        <x:v>日期缺漏</x:v>
      </x:c>
      <x:c r="C140" s="27" t="str">
        <x:v>故障修繕</x:v>
      </x:c>
      <x:c r="D140" s="27" t="n">
        <x:v>1</x:v>
      </x:c>
      <x:c r="E140" s="27" t="n">
        <x:v>1</x:v>
      </x:c>
      <x:c r="F140" s="27" t="n">
        <x:v>0</x:v>
      </x:c>
    </x:row>
    <x:row r="141">
      <x:c r="A141" s="27" t="str">
        <x:v>松濤二館</x:v>
      </x:c>
      <x:c r="B141" s="27" t="str">
        <x:v>2002.0</x:v>
      </x:c>
      <x:c r="C141" s="27" t="str">
        <x:v>故障修繕</x:v>
      </x:c>
      <x:c r="D141" s="27" t="n">
        <x:v>10</x:v>
      </x:c>
      <x:c r="E141" s="27" t="n">
        <x:v>10</x:v>
      </x:c>
      <x:c r="F141" s="27" t="n">
        <x:v>10</x:v>
      </x:c>
    </x:row>
    <x:row r="142">
      <x:c r="A142" s="27" t="str">
        <x:v>松濤二館</x:v>
      </x:c>
      <x:c r="B142" s="27" t="str">
        <x:v>2003.0</x:v>
      </x:c>
      <x:c r="C142" s="27" t="str">
        <x:v>故障修繕</x:v>
      </x:c>
      <x:c r="D142" s="27" t="n">
        <x:v>14</x:v>
      </x:c>
      <x:c r="E142" s="27" t="n">
        <x:v>14</x:v>
      </x:c>
      <x:c r="F142" s="27" t="n">
        <x:v>14</x:v>
      </x:c>
    </x:row>
    <x:row r="143">
      <x:c r="A143" s="27" t="str">
        <x:v>松濤二館</x:v>
      </x:c>
      <x:c r="B143" s="27" t="str">
        <x:v>2004.0</x:v>
      </x:c>
      <x:c r="C143" s="27" t="str">
        <x:v>故障修繕</x:v>
      </x:c>
      <x:c r="D143" s="27" t="n">
        <x:v>13</x:v>
      </x:c>
      <x:c r="E143" s="27" t="n">
        <x:v>13</x:v>
      </x:c>
      <x:c r="F143" s="27" t="n">
        <x:v>13</x:v>
      </x:c>
    </x:row>
    <x:row r="144">
      <x:c r="A144" s="27" t="str">
        <x:v>松濤二館</x:v>
      </x:c>
      <x:c r="B144" s="27" t="str">
        <x:v>2005.0</x:v>
      </x:c>
      <x:c r="C144" s="27" t="str">
        <x:v>故障修繕</x:v>
      </x:c>
      <x:c r="D144" s="27" t="n">
        <x:v>11</x:v>
      </x:c>
      <x:c r="E144" s="27" t="n">
        <x:v>11</x:v>
      </x:c>
      <x:c r="F144" s="27" t="n">
        <x:v>11</x:v>
      </x:c>
    </x:row>
    <x:row r="145">
      <x:c r="A145" s="27" t="str">
        <x:v>松濤二館</x:v>
      </x:c>
      <x:c r="B145" s="27" t="str">
        <x:v>2006.0</x:v>
      </x:c>
      <x:c r="C145" s="27" t="str">
        <x:v>故障修繕</x:v>
      </x:c>
      <x:c r="D145" s="27" t="n">
        <x:v>1</x:v>
      </x:c>
      <x:c r="E145" s="27" t="n">
        <x:v>1</x:v>
      </x:c>
      <x:c r="F145" s="27" t="n">
        <x:v>1</x:v>
      </x:c>
    </x:row>
    <x:row r="146">
      <x:c r="A146" s="27" t="str">
        <x:v>松濤二館</x:v>
      </x:c>
      <x:c r="B146" s="27" t="str">
        <x:v>2007.0</x:v>
      </x:c>
      <x:c r="C146" s="27" t="str">
        <x:v>故障修繕</x:v>
      </x:c>
      <x:c r="D146" s="27" t="n">
        <x:v>6</x:v>
      </x:c>
      <x:c r="E146" s="27" t="n">
        <x:v>6</x:v>
      </x:c>
      <x:c r="F146" s="27" t="n">
        <x:v>4</x:v>
      </x:c>
    </x:row>
    <x:row r="147">
      <x:c r="A147" s="27" t="str">
        <x:v>松濤二館</x:v>
      </x:c>
      <x:c r="B147" s="27" t="str">
        <x:v>2007.0</x:v>
      </x:c>
      <x:c r="C147" s="27" t="str">
        <x:v>檢查未發現故障</x:v>
      </x:c>
      <x:c r="D147" s="27" t="n">
        <x:v>3</x:v>
      </x:c>
      <x:c r="E147" s="27" t="n">
        <x:v>0</x:v>
      </x:c>
      <x:c r="F147" s="27" t="n">
        <x:v>3</x:v>
      </x:c>
    </x:row>
    <x:row r="148">
      <x:c r="A148" s="27" t="str">
        <x:v>松濤二館</x:v>
      </x:c>
      <x:c r="B148" s="27" t="str">
        <x:v>2007.0</x:v>
      </x:c>
      <x:c r="C148" s="27" t="str">
        <x:v>非冷氣設備</x:v>
      </x:c>
      <x:c r="D148" s="27" t="n">
        <x:v>2</x:v>
      </x:c>
      <x:c r="E148" s="27" t="n">
        <x:v>0</x:v>
      </x:c>
      <x:c r="F148" s="27" t="n">
        <x:v>0</x:v>
      </x:c>
    </x:row>
    <x:row r="149">
      <x:c r="A149" s="27" t="str">
        <x:v>松濤二館</x:v>
      </x:c>
      <x:c r="B149" s="27" t="str">
        <x:v>2008.0</x:v>
      </x:c>
      <x:c r="C149" s="27" t="str">
        <x:v>故障修繕</x:v>
      </x:c>
      <x:c r="D149" s="27" t="n">
        <x:v>22</x:v>
      </x:c>
      <x:c r="E149" s="27" t="n">
        <x:v>22</x:v>
      </x:c>
      <x:c r="F149" s="27" t="n">
        <x:v>22</x:v>
      </x:c>
    </x:row>
    <x:row r="150">
      <x:c r="A150" s="27" t="str">
        <x:v>松濤二館</x:v>
      </x:c>
      <x:c r="B150" s="27" t="str">
        <x:v>2009.0</x:v>
      </x:c>
      <x:c r="C150" s="27" t="str">
        <x:v>故障修繕</x:v>
      </x:c>
      <x:c r="D150" s="27" t="n">
        <x:v>10</x:v>
      </x:c>
      <x:c r="E150" s="27" t="n">
        <x:v>10</x:v>
      </x:c>
      <x:c r="F150" s="27" t="n">
        <x:v>10</x:v>
      </x:c>
    </x:row>
    <x:row r="151">
      <x:c r="A151" s="27" t="str">
        <x:v>松濤二館</x:v>
      </x:c>
      <x:c r="B151" s="27" t="str">
        <x:v>2009.0</x:v>
      </x:c>
      <x:c r="C151" s="27" t="str">
        <x:v>檢查未發現故障</x:v>
      </x:c>
      <x:c r="D151" s="27" t="n">
        <x:v>1</x:v>
      </x:c>
      <x:c r="E151" s="27" t="n">
        <x:v>0</x:v>
      </x:c>
      <x:c r="F151" s="27" t="n">
        <x:v>1</x:v>
      </x:c>
    </x:row>
    <x:row r="152">
      <x:c r="A152" s="27" t="str">
        <x:v>松濤二館</x:v>
      </x:c>
      <x:c r="B152" s="27" t="str">
        <x:v>2010.0</x:v>
      </x:c>
      <x:c r="C152" s="27" t="str">
        <x:v>故障修繕</x:v>
      </x:c>
      <x:c r="D152" s="27" t="n">
        <x:v>3</x:v>
      </x:c>
      <x:c r="E152" s="27" t="n">
        <x:v>3</x:v>
      </x:c>
      <x:c r="F152" s="27" t="n">
        <x:v>3</x:v>
      </x:c>
    </x:row>
    <x:row r="153">
      <x:c r="A153" s="27" t="str">
        <x:v>松濤二館</x:v>
      </x:c>
      <x:c r="B153" s="27" t="str">
        <x:v>2011.0</x:v>
      </x:c>
      <x:c r="C153" s="27" t="str">
        <x:v>故障修繕</x:v>
      </x:c>
      <x:c r="D153" s="27" t="n">
        <x:v>5</x:v>
      </x:c>
      <x:c r="E153" s="27" t="n">
        <x:v>5</x:v>
      </x:c>
      <x:c r="F153" s="27" t="n">
        <x:v>5</x:v>
      </x:c>
    </x:row>
    <x:row r="154">
      <x:c r="A154" s="27" t="str">
        <x:v>松濤二館</x:v>
      </x:c>
      <x:c r="B154" s="27" t="str">
        <x:v>2011.0</x:v>
      </x:c>
      <x:c r="C154" s="27" t="str">
        <x:v>檢查未發現故障</x:v>
      </x:c>
      <x:c r="D154" s="27" t="n">
        <x:v>4</x:v>
      </x:c>
      <x:c r="E154" s="27" t="n">
        <x:v>0</x:v>
      </x:c>
      <x:c r="F154" s="27" t="n">
        <x:v>4</x:v>
      </x:c>
    </x:row>
    <x:row r="155">
      <x:c r="A155" s="27" t="str">
        <x:v>松濤二館</x:v>
      </x:c>
      <x:c r="B155" s="27" t="str">
        <x:v>2012.0</x:v>
      </x:c>
      <x:c r="C155" s="27" t="str">
        <x:v>故障修繕</x:v>
      </x:c>
      <x:c r="D155" s="27" t="n">
        <x:v>21</x:v>
      </x:c>
      <x:c r="E155" s="27" t="n">
        <x:v>21</x:v>
      </x:c>
      <x:c r="F155" s="27" t="n">
        <x:v>20</x:v>
      </x:c>
    </x:row>
    <x:row r="156">
      <x:c r="A156" s="27" t="str">
        <x:v>松濤二館</x:v>
      </x:c>
      <x:c r="B156" s="27" t="str">
        <x:v>2012.0</x:v>
      </x:c>
      <x:c r="C156" s="27" t="str">
        <x:v>檢查未發現故障</x:v>
      </x:c>
      <x:c r="D156" s="27" t="n">
        <x:v>4</x:v>
      </x:c>
      <x:c r="E156" s="27" t="n">
        <x:v>0</x:v>
      </x:c>
      <x:c r="F156" s="27" t="n">
        <x:v>4</x:v>
      </x:c>
    </x:row>
    <x:row r="157">
      <x:c r="A157" s="27" t="str">
        <x:v>松濤二館</x:v>
      </x:c>
      <x:c r="B157" s="27" t="str">
        <x:v>2013.0</x:v>
      </x:c>
      <x:c r="C157" s="27" t="str">
        <x:v>故障修繕</x:v>
      </x:c>
      <x:c r="D157" s="27" t="n">
        <x:v>20</x:v>
      </x:c>
      <x:c r="E157" s="27" t="n">
        <x:v>20</x:v>
      </x:c>
      <x:c r="F157" s="27" t="n">
        <x:v>19</x:v>
      </x:c>
    </x:row>
    <x:row r="158">
      <x:c r="A158" s="27" t="str">
        <x:v>松濤二館</x:v>
      </x:c>
      <x:c r="B158" s="27" t="str">
        <x:v>2013.0</x:v>
      </x:c>
      <x:c r="C158" s="27" t="str">
        <x:v>檢查未發現故障</x:v>
      </x:c>
      <x:c r="D158" s="27" t="n">
        <x:v>5</x:v>
      </x:c>
      <x:c r="E158" s="27" t="n">
        <x:v>0</x:v>
      </x:c>
      <x:c r="F158" s="27" t="n">
        <x:v>5</x:v>
      </x:c>
    </x:row>
    <x:row r="159">
      <x:c r="A159" s="27" t="str">
        <x:v>松濤二館</x:v>
      </x:c>
      <x:c r="B159" s="27" t="str">
        <x:v>2013.0</x:v>
      </x:c>
      <x:c r="C159" s="27" t="str">
        <x:v>非冷氣設備</x:v>
      </x:c>
      <x:c r="D159" s="27" t="n">
        <x:v>1</x:v>
      </x:c>
      <x:c r="E159" s="27" t="n">
        <x:v>0</x:v>
      </x:c>
      <x:c r="F159" s="27" t="n">
        <x:v>0</x:v>
      </x:c>
    </x:row>
    <x:row r="160">
      <x:c r="A160" s="27" t="str">
        <x:v>松濤二館</x:v>
      </x:c>
      <x:c r="B160" s="27" t="str">
        <x:v>2014.0</x:v>
      </x:c>
      <x:c r="C160" s="27" t="str">
        <x:v>故障修繕</x:v>
      </x:c>
      <x:c r="D160" s="27" t="n">
        <x:v>9</x:v>
      </x:c>
      <x:c r="E160" s="27" t="n">
        <x:v>9</x:v>
      </x:c>
      <x:c r="F160" s="27" t="n">
        <x:v>9</x:v>
      </x:c>
    </x:row>
    <x:row r="161">
      <x:c r="A161" s="27" t="str">
        <x:v>松濤二館</x:v>
      </x:c>
      <x:c r="B161" s="27" t="str">
        <x:v>2014.0</x:v>
      </x:c>
      <x:c r="C161" s="27" t="str">
        <x:v>檢查未發現故障</x:v>
      </x:c>
      <x:c r="D161" s="27" t="n">
        <x:v>5</x:v>
      </x:c>
      <x:c r="E161" s="27" t="n">
        <x:v>0</x:v>
      </x:c>
      <x:c r="F161" s="27" t="n">
        <x:v>5</x:v>
      </x:c>
    </x:row>
    <x:row r="162">
      <x:c r="A162" s="27" t="str">
        <x:v>松濤二館</x:v>
      </x:c>
      <x:c r="B162" s="27" t="str">
        <x:v>2015.0</x:v>
      </x:c>
      <x:c r="C162" s="27" t="str">
        <x:v>故障修繕</x:v>
      </x:c>
      <x:c r="D162" s="27" t="n">
        <x:v>17</x:v>
      </x:c>
      <x:c r="E162" s="27" t="n">
        <x:v>17</x:v>
      </x:c>
      <x:c r="F162" s="27" t="n">
        <x:v>15</x:v>
      </x:c>
    </x:row>
    <x:row r="163">
      <x:c r="A163" s="27" t="str">
        <x:v>松濤二館</x:v>
      </x:c>
      <x:c r="B163" s="27" t="str">
        <x:v>2015.0</x:v>
      </x:c>
      <x:c r="C163" s="27" t="str">
        <x:v>檢查未發現故障</x:v>
      </x:c>
      <x:c r="D163" s="27" t="n">
        <x:v>1</x:v>
      </x:c>
      <x:c r="E163" s="27" t="n">
        <x:v>0</x:v>
      </x:c>
      <x:c r="F163" s="27" t="n">
        <x:v>1</x:v>
      </x:c>
    </x:row>
    <x:row r="164">
      <x:c r="A164" s="27" t="str">
        <x:v>松濤二館</x:v>
      </x:c>
      <x:c r="B164" s="27" t="str">
        <x:v>2016.0</x:v>
      </x:c>
      <x:c r="C164" s="27" t="str">
        <x:v>例行保養／清洗</x:v>
      </x:c>
      <x:c r="D164" s="27" t="n">
        <x:v>1</x:v>
      </x:c>
      <x:c r="E164" s="27" t="n">
        <x:v>0</x:v>
      </x:c>
      <x:c r="F164" s="27" t="n">
        <x:v>0</x:v>
      </x:c>
    </x:row>
    <x:row r="165">
      <x:c r="A165" s="27" t="str">
        <x:v>松濤二館</x:v>
      </x:c>
      <x:c r="B165" s="27" t="str">
        <x:v>2016.0</x:v>
      </x:c>
      <x:c r="C165" s="27" t="str">
        <x:v>故障修繕</x:v>
      </x:c>
      <x:c r="D165" s="27" t="n">
        <x:v>20</x:v>
      </x:c>
      <x:c r="E165" s="27" t="n">
        <x:v>20</x:v>
      </x:c>
      <x:c r="F165" s="27" t="n">
        <x:v>18</x:v>
      </x:c>
    </x:row>
    <x:row r="166">
      <x:c r="A166" s="27" t="str">
        <x:v>松濤二館</x:v>
      </x:c>
      <x:c r="B166" s="27" t="str">
        <x:v>2016.0</x:v>
      </x:c>
      <x:c r="C166" s="27" t="str">
        <x:v>檢查未發現故障</x:v>
      </x:c>
      <x:c r="D166" s="27" t="n">
        <x:v>13</x:v>
      </x:c>
      <x:c r="E166" s="27" t="n">
        <x:v>0</x:v>
      </x:c>
      <x:c r="F166" s="27" t="n">
        <x:v>13</x:v>
      </x:c>
    </x:row>
    <x:row r="167">
      <x:c r="A167" s="27" t="str">
        <x:v>松濤二館</x:v>
      </x:c>
      <x:c r="B167" s="27" t="str">
        <x:v>2016.0</x:v>
      </x:c>
      <x:c r="C167" s="27" t="str">
        <x:v>非冷氣設備</x:v>
      </x:c>
      <x:c r="D167" s="27" t="n">
        <x:v>1</x:v>
      </x:c>
      <x:c r="E167" s="27" t="n">
        <x:v>0</x:v>
      </x:c>
      <x:c r="F167" s="27" t="n">
        <x:v>0</x:v>
      </x:c>
    </x:row>
    <x:row r="168">
      <x:c r="A168" s="27" t="str">
        <x:v>松濤二館</x:v>
      </x:c>
      <x:c r="B168" s="27" t="str">
        <x:v>2017.0</x:v>
      </x:c>
      <x:c r="C168" s="27" t="str">
        <x:v>例行保養／清洗</x:v>
      </x:c>
      <x:c r="D168" s="27" t="n">
        <x:v>2</x:v>
      </x:c>
      <x:c r="E168" s="27" t="n">
        <x:v>0</x:v>
      </x:c>
      <x:c r="F168" s="27" t="n">
        <x:v>1</x:v>
      </x:c>
    </x:row>
    <x:row r="169">
      <x:c r="A169" s="27" t="str">
        <x:v>松濤二館</x:v>
      </x:c>
      <x:c r="B169" s="27" t="str">
        <x:v>2017.0</x:v>
      </x:c>
      <x:c r="C169" s="27" t="str">
        <x:v>故障修繕</x:v>
      </x:c>
      <x:c r="D169" s="27" t="n">
        <x:v>25</x:v>
      </x:c>
      <x:c r="E169" s="27" t="n">
        <x:v>25</x:v>
      </x:c>
      <x:c r="F169" s="27" t="n">
        <x:v>23</x:v>
      </x:c>
    </x:row>
    <x:row r="170">
      <x:c r="A170" s="27" t="str">
        <x:v>松濤二館</x:v>
      </x:c>
      <x:c r="B170" s="27" t="str">
        <x:v>2017.0</x:v>
      </x:c>
      <x:c r="C170" s="27" t="str">
        <x:v>檢查未發現故障</x:v>
      </x:c>
      <x:c r="D170" s="27" t="n">
        <x:v>6</x:v>
      </x:c>
      <x:c r="E170" s="27" t="n">
        <x:v>0</x:v>
      </x:c>
      <x:c r="F170" s="27" t="n">
        <x:v>6</x:v>
      </x:c>
    </x:row>
    <x:row r="171">
      <x:c r="A171" s="27" t="str">
        <x:v>松濤二館</x:v>
      </x:c>
      <x:c r="B171" s="27" t="str">
        <x:v>2018.0</x:v>
      </x:c>
      <x:c r="C171" s="27" t="str">
        <x:v>例行保養／清洗</x:v>
      </x:c>
      <x:c r="D171" s="27" t="n">
        <x:v>4</x:v>
      </x:c>
      <x:c r="E171" s="27" t="n">
        <x:v>0</x:v>
      </x:c>
      <x:c r="F171" s="27" t="n">
        <x:v>3</x:v>
      </x:c>
    </x:row>
    <x:row r="172">
      <x:c r="A172" s="27" t="str">
        <x:v>松濤二館</x:v>
      </x:c>
      <x:c r="B172" s="27" t="str">
        <x:v>2018.0</x:v>
      </x:c>
      <x:c r="C172" s="27" t="str">
        <x:v>故障修繕</x:v>
      </x:c>
      <x:c r="D172" s="27" t="n">
        <x:v>30</x:v>
      </x:c>
      <x:c r="E172" s="27" t="n">
        <x:v>30</x:v>
      </x:c>
      <x:c r="F172" s="27" t="n">
        <x:v>25</x:v>
      </x:c>
    </x:row>
    <x:row r="173">
      <x:c r="A173" s="27" t="str">
        <x:v>松濤二館</x:v>
      </x:c>
      <x:c r="B173" s="27" t="str">
        <x:v>2018.0</x:v>
      </x:c>
      <x:c r="C173" s="27" t="str">
        <x:v>檢查未發現故障</x:v>
      </x:c>
      <x:c r="D173" s="27" t="n">
        <x:v>9</x:v>
      </x:c>
      <x:c r="E173" s="27" t="n">
        <x:v>0</x:v>
      </x:c>
      <x:c r="F173" s="27" t="n">
        <x:v>7</x:v>
      </x:c>
    </x:row>
    <x:row r="174">
      <x:c r="A174" s="27" t="str">
        <x:v>松濤二館</x:v>
      </x:c>
      <x:c r="B174" s="27" t="str">
        <x:v>2018.0</x:v>
      </x:c>
      <x:c r="C174" s="27" t="str">
        <x:v>非冷氣設備</x:v>
      </x:c>
      <x:c r="D174" s="27" t="n">
        <x:v>2</x:v>
      </x:c>
      <x:c r="E174" s="27" t="n">
        <x:v>0</x:v>
      </x:c>
      <x:c r="F174" s="27" t="n">
        <x:v>0</x:v>
      </x:c>
    </x:row>
    <x:row r="175">
      <x:c r="A175" s="27" t="str">
        <x:v>松濤二館</x:v>
      </x:c>
      <x:c r="B175" s="27" t="str">
        <x:v>2019.0</x:v>
      </x:c>
      <x:c r="C175" s="27" t="str">
        <x:v>例行保養／清洗</x:v>
      </x:c>
      <x:c r="D175" s="27" t="n">
        <x:v>5</x:v>
      </x:c>
      <x:c r="E175" s="27" t="n">
        <x:v>0</x:v>
      </x:c>
      <x:c r="F175" s="27" t="n">
        <x:v>5</x:v>
      </x:c>
    </x:row>
    <x:row r="176">
      <x:c r="A176" s="27" t="str">
        <x:v>松濤二館</x:v>
      </x:c>
      <x:c r="B176" s="27" t="str">
        <x:v>2019.0</x:v>
      </x:c>
      <x:c r="C176" s="27" t="str">
        <x:v>故障修繕</x:v>
      </x:c>
      <x:c r="D176" s="27" t="n">
        <x:v>34</x:v>
      </x:c>
      <x:c r="E176" s="27" t="n">
        <x:v>34</x:v>
      </x:c>
      <x:c r="F176" s="27" t="n">
        <x:v>30</x:v>
      </x:c>
    </x:row>
    <x:row r="177">
      <x:c r="A177" s="27" t="str">
        <x:v>松濤二館</x:v>
      </x:c>
      <x:c r="B177" s="27" t="str">
        <x:v>2019.0</x:v>
      </x:c>
      <x:c r="C177" s="27" t="str">
        <x:v>檢查未發現故障</x:v>
      </x:c>
      <x:c r="D177" s="27" t="n">
        <x:v>8</x:v>
      </x:c>
      <x:c r="E177" s="27" t="n">
        <x:v>0</x:v>
      </x:c>
      <x:c r="F177" s="27" t="n">
        <x:v>7</x:v>
      </x:c>
    </x:row>
    <x:row r="178">
      <x:c r="A178" s="27" t="str">
        <x:v>松濤二館</x:v>
      </x:c>
      <x:c r="B178" s="27" t="str">
        <x:v>2019.0</x:v>
      </x:c>
      <x:c r="C178" s="27" t="str">
        <x:v>非冷氣設備</x:v>
      </x:c>
      <x:c r="D178" s="27" t="n">
        <x:v>3</x:v>
      </x:c>
      <x:c r="E178" s="27" t="n">
        <x:v>0</x:v>
      </x:c>
      <x:c r="F178" s="27" t="n">
        <x:v>0</x:v>
      </x:c>
    </x:row>
    <x:row r="179">
      <x:c r="A179" s="27" t="str">
        <x:v>松濤二館</x:v>
      </x:c>
      <x:c r="B179" s="27" t="str">
        <x:v>2020.0</x:v>
      </x:c>
      <x:c r="C179" s="27" t="str">
        <x:v>例行保養／清洗</x:v>
      </x:c>
      <x:c r="D179" s="27" t="n">
        <x:v>4</x:v>
      </x:c>
      <x:c r="E179" s="27" t="n">
        <x:v>0</x:v>
      </x:c>
      <x:c r="F179" s="27" t="n">
        <x:v>2</x:v>
      </x:c>
    </x:row>
    <x:row r="180">
      <x:c r="A180" s="27" t="str">
        <x:v>松濤二館</x:v>
      </x:c>
      <x:c r="B180" s="27" t="str">
        <x:v>2020.0</x:v>
      </x:c>
      <x:c r="C180" s="27" t="str">
        <x:v>故障修繕</x:v>
      </x:c>
      <x:c r="D180" s="27" t="n">
        <x:v>32</x:v>
      </x:c>
      <x:c r="E180" s="27" t="n">
        <x:v>32</x:v>
      </x:c>
      <x:c r="F180" s="27" t="n">
        <x:v>25</x:v>
      </x:c>
    </x:row>
    <x:row r="181">
      <x:c r="A181" s="27" t="str">
        <x:v>松濤二館</x:v>
      </x:c>
      <x:c r="B181" s="27" t="str">
        <x:v>2020.0</x:v>
      </x:c>
      <x:c r="C181" s="27" t="str">
        <x:v>檢查未發現故障</x:v>
      </x:c>
      <x:c r="D181" s="27" t="n">
        <x:v>8</x:v>
      </x:c>
      <x:c r="E181" s="27" t="n">
        <x:v>0</x:v>
      </x:c>
      <x:c r="F181" s="27" t="n">
        <x:v>8</x:v>
      </x:c>
    </x:row>
    <x:row r="182">
      <x:c r="A182" s="27" t="str">
        <x:v>松濤二館</x:v>
      </x:c>
      <x:c r="B182" s="27" t="str">
        <x:v>2020.0</x:v>
      </x:c>
      <x:c r="C182" s="27" t="str">
        <x:v>非冷氣設備</x:v>
      </x:c>
      <x:c r="D182" s="27" t="n">
        <x:v>3</x:v>
      </x:c>
      <x:c r="E182" s="27" t="n">
        <x:v>0</x:v>
      </x:c>
      <x:c r="F182" s="27" t="n">
        <x:v>0</x:v>
      </x:c>
    </x:row>
    <x:row r="183">
      <x:c r="A183" s="27" t="str">
        <x:v>松濤二館</x:v>
      </x:c>
      <x:c r="B183" s="27" t="str">
        <x:v>2021.0</x:v>
      </x:c>
      <x:c r="C183" s="27" t="str">
        <x:v>例行保養／清洗</x:v>
      </x:c>
      <x:c r="D183" s="27" t="n">
        <x:v>3</x:v>
      </x:c>
      <x:c r="E183" s="27" t="n">
        <x:v>0</x:v>
      </x:c>
      <x:c r="F183" s="27" t="n">
        <x:v>2</x:v>
      </x:c>
    </x:row>
    <x:row r="184">
      <x:c r="A184" s="27" t="str">
        <x:v>松濤二館</x:v>
      </x:c>
      <x:c r="B184" s="27" t="str">
        <x:v>2021.0</x:v>
      </x:c>
      <x:c r="C184" s="27" t="str">
        <x:v>故障修繕</x:v>
      </x:c>
      <x:c r="D184" s="27" t="n">
        <x:v>28</x:v>
      </x:c>
      <x:c r="E184" s="27" t="n">
        <x:v>28</x:v>
      </x:c>
      <x:c r="F184" s="27" t="n">
        <x:v>25</x:v>
      </x:c>
    </x:row>
    <x:row r="185">
      <x:c r="A185" s="27" t="str">
        <x:v>松濤二館</x:v>
      </x:c>
      <x:c r="B185" s="27" t="str">
        <x:v>2021.0</x:v>
      </x:c>
      <x:c r="C185" s="27" t="str">
        <x:v>檢查未發現故障</x:v>
      </x:c>
      <x:c r="D185" s="27" t="n">
        <x:v>6</x:v>
      </x:c>
      <x:c r="E185" s="27" t="n">
        <x:v>0</x:v>
      </x:c>
      <x:c r="F185" s="27" t="n">
        <x:v>6</x:v>
      </x:c>
    </x:row>
    <x:row r="186">
      <x:c r="A186" s="27" t="str">
        <x:v>松濤二館</x:v>
      </x:c>
      <x:c r="B186" s="27" t="str">
        <x:v>2022.0</x:v>
      </x:c>
      <x:c r="C186" s="27" t="str">
        <x:v>例行保養／清洗</x:v>
      </x:c>
      <x:c r="D186" s="27" t="n">
        <x:v>4</x:v>
      </x:c>
      <x:c r="E186" s="27" t="n">
        <x:v>0</x:v>
      </x:c>
      <x:c r="F186" s="27" t="n">
        <x:v>3</x:v>
      </x:c>
    </x:row>
    <x:row r="187">
      <x:c r="A187" s="27" t="str">
        <x:v>松濤二館</x:v>
      </x:c>
      <x:c r="B187" s="27" t="str">
        <x:v>2022.0</x:v>
      </x:c>
      <x:c r="C187" s="27" t="str">
        <x:v>故障修繕</x:v>
      </x:c>
      <x:c r="D187" s="27" t="n">
        <x:v>26</x:v>
      </x:c>
      <x:c r="E187" s="27" t="n">
        <x:v>26</x:v>
      </x:c>
      <x:c r="F187" s="27" t="n">
        <x:v>24</x:v>
      </x:c>
    </x:row>
    <x:row r="188">
      <x:c r="A188" s="27" t="str">
        <x:v>松濤二館</x:v>
      </x:c>
      <x:c r="B188" s="27" t="str">
        <x:v>2022.0</x:v>
      </x:c>
      <x:c r="C188" s="27" t="str">
        <x:v>檢查未發現故障</x:v>
      </x:c>
      <x:c r="D188" s="27" t="n">
        <x:v>12</x:v>
      </x:c>
      <x:c r="E188" s="27" t="n">
        <x:v>0</x:v>
      </x:c>
      <x:c r="F188" s="27" t="n">
        <x:v>12</x:v>
      </x:c>
    </x:row>
    <x:row r="189">
      <x:c r="A189" s="27" t="str">
        <x:v>松濤二館</x:v>
      </x:c>
      <x:c r="B189" s="27" t="str">
        <x:v>2022.0</x:v>
      </x:c>
      <x:c r="C189" s="27" t="str">
        <x:v>非冷氣設備</x:v>
      </x:c>
      <x:c r="D189" s="27" t="n">
        <x:v>1</x:v>
      </x:c>
      <x:c r="E189" s="27" t="n">
        <x:v>0</x:v>
      </x:c>
      <x:c r="F189" s="27" t="n">
        <x:v>0</x:v>
      </x:c>
    </x:row>
    <x:row r="190">
      <x:c r="A190" s="27" t="str">
        <x:v>松濤二館</x:v>
      </x:c>
      <x:c r="B190" s="27" t="str">
        <x:v>2023.0</x:v>
      </x:c>
      <x:c r="C190" s="27" t="str">
        <x:v>例行保養／清洗</x:v>
      </x:c>
      <x:c r="D190" s="27" t="n">
        <x:v>6</x:v>
      </x:c>
      <x:c r="E190" s="27" t="n">
        <x:v>0</x:v>
      </x:c>
      <x:c r="F190" s="27" t="n">
        <x:v>5</x:v>
      </x:c>
    </x:row>
    <x:row r="191">
      <x:c r="A191" s="27" t="str">
        <x:v>松濤二館</x:v>
      </x:c>
      <x:c r="B191" s="27" t="str">
        <x:v>2023.0</x:v>
      </x:c>
      <x:c r="C191" s="27" t="str">
        <x:v>故障修繕</x:v>
      </x:c>
      <x:c r="D191" s="27" t="n">
        <x:v>47</x:v>
      </x:c>
      <x:c r="E191" s="27" t="n">
        <x:v>47</x:v>
      </x:c>
      <x:c r="F191" s="27" t="n">
        <x:v>39</x:v>
      </x:c>
    </x:row>
    <x:row r="192">
      <x:c r="A192" s="27" t="str">
        <x:v>松濤二館</x:v>
      </x:c>
      <x:c r="B192" s="27" t="str">
        <x:v>2023.0</x:v>
      </x:c>
      <x:c r="C192" s="27" t="str">
        <x:v>檢查未發現故障</x:v>
      </x:c>
      <x:c r="D192" s="27" t="n">
        <x:v>6</x:v>
      </x:c>
      <x:c r="E192" s="27" t="n">
        <x:v>0</x:v>
      </x:c>
      <x:c r="F192" s="27" t="n">
        <x:v>6</x:v>
      </x:c>
    </x:row>
    <x:row r="193">
      <x:c r="A193" s="27" t="str">
        <x:v>松濤二館</x:v>
      </x:c>
      <x:c r="B193" s="27" t="str">
        <x:v>2023.0</x:v>
      </x:c>
      <x:c r="C193" s="27" t="str">
        <x:v>行政紀錄</x:v>
      </x:c>
      <x:c r="D193" s="27" t="n">
        <x:v>1</x:v>
      </x:c>
      <x:c r="E193" s="27" t="n">
        <x:v>0</x:v>
      </x:c>
      <x:c r="F193" s="27" t="n">
        <x:v>0</x:v>
      </x:c>
    </x:row>
    <x:row r="194">
      <x:c r="A194" s="27" t="str">
        <x:v>松濤二館</x:v>
      </x:c>
      <x:c r="B194" s="27" t="str">
        <x:v>2023.0</x:v>
      </x:c>
      <x:c r="C194" s="27" t="str">
        <x:v>非冷氣設備</x:v>
      </x:c>
      <x:c r="D194" s="27" t="n">
        <x:v>2</x:v>
      </x:c>
      <x:c r="E194" s="27" t="n">
        <x:v>0</x:v>
      </x:c>
      <x:c r="F194" s="27" t="n">
        <x:v>0</x:v>
      </x:c>
    </x:row>
    <x:row r="195">
      <x:c r="A195" s="27" t="str">
        <x:v>松濤二館</x:v>
      </x:c>
      <x:c r="B195" s="27" t="str">
        <x:v>2024.0</x:v>
      </x:c>
      <x:c r="C195" s="27" t="str">
        <x:v>例行保養／清洗</x:v>
      </x:c>
      <x:c r="D195" s="27" t="n">
        <x:v>7</x:v>
      </x:c>
      <x:c r="E195" s="27" t="n">
        <x:v>0</x:v>
      </x:c>
      <x:c r="F195" s="27" t="n">
        <x:v>5</x:v>
      </x:c>
    </x:row>
    <x:row r="196">
      <x:c r="A196" s="27" t="str">
        <x:v>松濤二館</x:v>
      </x:c>
      <x:c r="B196" s="27" t="str">
        <x:v>2024.0</x:v>
      </x:c>
      <x:c r="C196" s="27" t="str">
        <x:v>故障修繕</x:v>
      </x:c>
      <x:c r="D196" s="27" t="n">
        <x:v>53</x:v>
      </x:c>
      <x:c r="E196" s="27" t="n">
        <x:v>53</x:v>
      </x:c>
      <x:c r="F196" s="27" t="n">
        <x:v>52</x:v>
      </x:c>
    </x:row>
    <x:row r="197">
      <x:c r="A197" s="27" t="str">
        <x:v>松濤二館</x:v>
      </x:c>
      <x:c r="B197" s="27" t="str">
        <x:v>2024.0</x:v>
      </x:c>
      <x:c r="C197" s="27" t="str">
        <x:v>檢查未發現故障</x:v>
      </x:c>
      <x:c r="D197" s="27" t="n">
        <x:v>20</x:v>
      </x:c>
      <x:c r="E197" s="27" t="n">
        <x:v>0</x:v>
      </x:c>
      <x:c r="F197" s="27" t="n">
        <x:v>19</x:v>
      </x:c>
    </x:row>
    <x:row r="198">
      <x:c r="A198" s="27" t="str">
        <x:v>松濤二館</x:v>
      </x:c>
      <x:c r="B198" s="27" t="str">
        <x:v>2024.0</x:v>
      </x:c>
      <x:c r="C198" s="27" t="str">
        <x:v>非冷氣設備</x:v>
      </x:c>
      <x:c r="D198" s="27" t="n">
        <x:v>7</x:v>
      </x:c>
      <x:c r="E198" s="27" t="n">
        <x:v>0</x:v>
      </x:c>
      <x:c r="F198" s="27" t="n">
        <x:v>0</x:v>
      </x:c>
    </x:row>
    <x:row r="199">
      <x:c r="A199" s="27" t="str">
        <x:v>松濤二館</x:v>
      </x:c>
      <x:c r="B199" s="27" t="str">
        <x:v>2025.0</x:v>
      </x:c>
      <x:c r="C199" s="27" t="str">
        <x:v>例行保養／清洗</x:v>
      </x:c>
      <x:c r="D199" s="27" t="n">
        <x:v>8</x:v>
      </x:c>
      <x:c r="E199" s="27" t="n">
        <x:v>0</x:v>
      </x:c>
      <x:c r="F199" s="27" t="n">
        <x:v>7</x:v>
      </x:c>
    </x:row>
    <x:row r="200">
      <x:c r="A200" s="27" t="str">
        <x:v>松濤二館</x:v>
      </x:c>
      <x:c r="B200" s="27" t="str">
        <x:v>2025.0</x:v>
      </x:c>
      <x:c r="C200" s="27" t="str">
        <x:v>故障修繕</x:v>
      </x:c>
      <x:c r="D200" s="27" t="n">
        <x:v>31</x:v>
      </x:c>
      <x:c r="E200" s="27" t="n">
        <x:v>31</x:v>
      </x:c>
      <x:c r="F200" s="27" t="n">
        <x:v>31</x:v>
      </x:c>
    </x:row>
    <x:row r="201">
      <x:c r="A201" s="27" t="str">
        <x:v>松濤二館</x:v>
      </x:c>
      <x:c r="B201" s="27" t="str">
        <x:v>2025.0</x:v>
      </x:c>
      <x:c r="C201" s="27" t="str">
        <x:v>檢查未發現故障</x:v>
      </x:c>
      <x:c r="D201" s="27" t="n">
        <x:v>14</x:v>
      </x:c>
      <x:c r="E201" s="27" t="n">
        <x:v>0</x:v>
      </x:c>
      <x:c r="F201" s="27" t="n">
        <x:v>14</x:v>
      </x:c>
    </x:row>
    <x:row r="202">
      <x:c r="A202" s="27" t="str">
        <x:v>松濤二館</x:v>
      </x:c>
      <x:c r="B202" s="27" t="str">
        <x:v>2025.0</x:v>
      </x:c>
      <x:c r="C202" s="27" t="str">
        <x:v>非冷氣設備</x:v>
      </x:c>
      <x:c r="D202" s="27" t="n">
        <x:v>7</x:v>
      </x:c>
      <x:c r="E202" s="27" t="n">
        <x:v>0</x:v>
      </x:c>
      <x:c r="F202" s="27" t="n">
        <x:v>1</x:v>
      </x:c>
    </x:row>
    <x:row r="203">
      <x:c r="A203" s="27" t="str">
        <x:v>松濤二館</x:v>
      </x:c>
      <x:c r="B203" s="27" t="str">
        <x:v>2026.0</x:v>
      </x:c>
      <x:c r="C203" s="27" t="str">
        <x:v>故障修繕</x:v>
      </x:c>
      <x:c r="D203" s="27" t="n">
        <x:v>12</x:v>
      </x:c>
      <x:c r="E203" s="27" t="n">
        <x:v>12</x:v>
      </x:c>
      <x:c r="F203" s="27" t="n">
        <x:v>12</x:v>
      </x:c>
    </x:row>
    <x:row r="204">
      <x:c r="A204" s="27" t="str">
        <x:v>松濤二館</x:v>
      </x:c>
      <x:c r="B204" s="27" t="str">
        <x:v>2026.0</x:v>
      </x:c>
      <x:c r="C204" s="27" t="str">
        <x:v>檢查未發現故障</x:v>
      </x:c>
      <x:c r="D204" s="27" t="n">
        <x:v>2</x:v>
      </x:c>
      <x:c r="E204" s="27" t="n">
        <x:v>0</x:v>
      </x:c>
      <x:c r="F204" s="27" t="n">
        <x:v>2</x:v>
      </x:c>
    </x:row>
    <x:row r="205">
      <x:c r="A205" s="27" t="str">
        <x:v>松濤二館</x:v>
      </x:c>
      <x:c r="B205" s="27" t="str">
        <x:v>2026.0</x:v>
      </x:c>
      <x:c r="C205" s="27" t="str">
        <x:v>非冷氣設備</x:v>
      </x:c>
      <x:c r="D205" s="27" t="n">
        <x:v>1</x:v>
      </x:c>
      <x:c r="E205" s="27" t="n">
        <x:v>0</x:v>
      </x:c>
      <x:c r="F205" s="27" t="n">
        <x:v>0</x:v>
      </x:c>
    </x:row>
    <x:row r="206">
      <x:c r="A206" s="28" t="str">
        <x:v>松濤二館</x:v>
      </x:c>
      <x:c r="B206" s="28" t="str">
        <x:v>日期缺漏</x:v>
      </x:c>
      <x:c r="C206" s="28" t="str">
        <x:v>故障修繕</x:v>
      </x:c>
      <x:c r="D206" s="28" t="n">
        <x:v>27</x:v>
      </x:c>
      <x:c r="E206" s="28" t="n">
        <x:v>27</x:v>
      </x:c>
      <x:c r="F206" s="28" t="n">
        <x:v>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1836323600e44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5" hidden="0" customWidth="1"/>
    <x:col min="5" max="5" width="10" hidden="0" customWidth="1"/>
    <x:col min="6" max="6" width="17" hidden="0" customWidth="1"/>
    <x:col min="7" max="7" width="17" hidden="0" customWidth="1"/>
    <x:col min="8" max="8" width="15" hidden="0" customWidth="1"/>
    <x:col min="9" max="9" width="18" hidden="0" customWidth="1"/>
  </x:cols>
  <x:sheetData>
    <x:row r="1" ht="32" customHeight="1">
      <x:c r="A1" s="3" t="str">
        <x:v>2026 現有冷氣故障風險彙整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7" t="str">
        <x:v>Logistic 模型輸出按館別、廠牌、型號族群與機齡帶彙整；設備級排序留在本機 private，不放入公開工作簿。 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>
      <x:c r="A4" s="60"/>
      <x:c r="B4" s="60"/>
      <x:c r="C4" s="60"/>
      <x:c r="D4" s="60"/>
      <x:c r="E4" s="60"/>
      <x:c r="F4" s="60"/>
      <x:c r="G4" s="60"/>
      <x:c r="H4" s="60"/>
      <x:c r="I4" s="60"/>
    </x:row>
    <x:row r="5" ht="34" customHeight="1">
      <x:c r="A5" s="19" t="str">
        <x:v>館別</x:v>
      </x:c>
      <x:c r="B5" s="20" t="str">
        <x:v>廠牌</x:v>
      </x:c>
      <x:c r="C5" s="20" t="str">
        <x:v>型號族群</x:v>
      </x:c>
      <x:c r="D5" s="20" t="str">
        <x:v>機齡帶</x:v>
      </x:c>
      <x:c r="E5" s="20" t="str">
        <x:v>台數</x:v>
      </x:c>
      <x:c r="F5" s="20" t="str">
        <x:v>平均預測風險</x:v>
      </x:c>
      <x:c r="G5" s="20" t="str">
        <x:v>風險中位數</x:v>
      </x:c>
      <x:c r="H5" s="20" t="str">
        <x:v>風險P90</x:v>
      </x:c>
      <x:c r="I5" s="21" t="str">
        <x:v>平均既往故障數</x:v>
      </x:c>
    </x:row>
    <x:row r="6">
      <x:c r="A6" s="26" t="str">
        <x:v>松濤二館</x:v>
      </x:c>
      <x:c r="B6" s="26" t="str">
        <x:v>大金</x:v>
      </x:c>
      <x:c r="C6" s="26" t="str">
        <x:v>FTX</x:v>
      </x:c>
      <x:c r="D6" s="26" t="str">
        <x:v>21 年以上</x:v>
      </x:c>
      <x:c r="E6" s="26" t="n">
        <x:v>51</x:v>
      </x:c>
      <x:c r="F6" s="50" t="n">
        <x:v>0.3579369882876305</x:v>
      </x:c>
      <x:c r="G6" s="50" t="n">
        <x:v>0.354059990860734</x:v>
      </x:c>
      <x:c r="H6" s="50" t="n">
        <x:v>0.4102738923384875</x:v>
      </x:c>
      <x:c r="I6" s="52" t="n">
        <x:v>6.019607843137255</x:v>
      </x:c>
    </x:row>
    <x:row r="7">
      <x:c r="A7" s="27" t="str">
        <x:v>松濤三館</x:v>
      </x:c>
      <x:c r="B7" s="27" t="str">
        <x:v>大金</x:v>
      </x:c>
      <x:c r="C7" s="27" t="str">
        <x:v>FTX</x:v>
      </x:c>
      <x:c r="D7" s="27" t="str">
        <x:v>21 年以上</x:v>
      </x:c>
      <x:c r="E7" s="27" t="n">
        <x:v>65</x:v>
      </x:c>
      <x:c r="F7" s="30" t="n">
        <x:v>0.3303140921124148</x:v>
      </x:c>
      <x:c r="G7" s="30" t="n">
        <x:v>0.3232299151857645</x:v>
      </x:c>
      <x:c r="H7" s="30" t="n">
        <x:v>0.3721077667106062</x:v>
      </x:c>
      <x:c r="I7" s="53" t="n">
        <x:v>4.553846153846154</x:v>
      </x:c>
    </x:row>
    <x:row r="8">
      <x:c r="A8" s="27" t="str">
        <x:v>松濤一館</x:v>
      </x:c>
      <x:c r="B8" s="27" t="str">
        <x:v>大金</x:v>
      </x:c>
      <x:c r="C8" s="27" t="str">
        <x:v>FTX</x:v>
      </x:c>
      <x:c r="D8" s="27" t="str">
        <x:v>21 年以上</x:v>
      </x:c>
      <x:c r="E8" s="27" t="n">
        <x:v>110</x:v>
      </x:c>
      <x:c r="F8" s="30" t="n">
        <x:v>0.3239129069895142</x:v>
      </x:c>
      <x:c r="G8" s="30" t="n">
        <x:v>0.3237086500153657</x:v>
      </x:c>
      <x:c r="H8" s="30" t="n">
        <x:v>0.3668076806400849</x:v>
      </x:c>
      <x:c r="I8" s="53" t="n">
        <x:v>4.381818181818182</x:v>
      </x:c>
    </x:row>
    <x:row r="9">
      <x:c r="A9" s="27" t="str">
        <x:v>松濤二館</x:v>
      </x:c>
      <x:c r="B9" s="27" t="str">
        <x:v>日立</x:v>
      </x:c>
      <x:c r="C9" s="27" t="str">
        <x:v>其他</x:v>
      </x:c>
      <x:c r="D9" s="27" t="str">
        <x:v>11–15 年</x:v>
      </x:c>
      <x:c r="E9" s="27" t="n">
        <x:v>3</x:v>
      </x:c>
      <x:c r="F9" s="30" t="n">
        <x:v>0.2330947594952585</x:v>
      </x:c>
      <x:c r="G9" s="30" t="n">
        <x:v>0.2624379724322595</x:v>
      </x:c>
      <x:c r="H9" s="30" t="n">
        <x:v>0.2740533390324535</x:v>
      </x:c>
      <x:c r="I9" s="53" t="n">
        <x:v>5.333333333333333</x:v>
      </x:c>
    </x:row>
    <x:row r="10">
      <x:c r="A10" s="27" t="str">
        <x:v>松濤二館</x:v>
      </x:c>
      <x:c r="B10" s="27" t="str">
        <x:v>日立</x:v>
      </x:c>
      <x:c r="C10" s="27" t="str">
        <x:v>其他</x:v>
      </x:c>
      <x:c r="D10" s="27" t="str">
        <x:v>16–20 年</x:v>
      </x:c>
      <x:c r="E10" s="27" t="n">
        <x:v>1</x:v>
      </x:c>
      <x:c r="F10" s="30" t="n">
        <x:v>0.2256716164851898</x:v>
      </x:c>
      <x:c r="G10" s="30" t="n">
        <x:v>0.2256716164851898</x:v>
      </x:c>
      <x:c r="H10" s="30" t="n">
        <x:v>0.2256716164851898</x:v>
      </x:c>
      <x:c r="I10" s="53" t="n">
        <x:v>1</x:v>
      </x:c>
    </x:row>
    <x:row r="11">
      <x:c r="A11" s="27" t="str">
        <x:v>松濤三館</x:v>
      </x:c>
      <x:c r="B11" s="27" t="str">
        <x:v>日立</x:v>
      </x:c>
      <x:c r="C11" s="27" t="str">
        <x:v>RAS</x:v>
      </x:c>
      <x:c r="D11" s="27" t="str">
        <x:v>11–15 年</x:v>
      </x:c>
      <x:c r="E11" s="27" t="n">
        <x:v>4</x:v>
      </x:c>
      <x:c r="F11" s="30" t="n">
        <x:v>0.2196498258900527</x:v>
      </x:c>
      <x:c r="G11" s="30" t="n">
        <x:v>0.2102752737059714</x:v>
      </x:c>
      <x:c r="H11" s="30" t="n">
        <x:v>0.2392719874052526</x:v>
      </x:c>
      <x:c r="I11" s="53" t="n">
        <x:v>2.75</x:v>
      </x:c>
    </x:row>
    <x:row r="12">
      <x:c r="A12" s="27" t="str">
        <x:v>松濤二館</x:v>
      </x:c>
      <x:c r="B12" s="27" t="str">
        <x:v>日立</x:v>
      </x:c>
      <x:c r="C12" s="27" t="str">
        <x:v>RAS</x:v>
      </x:c>
      <x:c r="D12" s="27" t="str">
        <x:v>11–15 年</x:v>
      </x:c>
      <x:c r="E12" s="27" t="n">
        <x:v>8</x:v>
      </x:c>
      <x:c r="F12" s="30" t="n">
        <x:v>0.2109420456352841</x:v>
      </x:c>
      <x:c r="G12" s="30" t="n">
        <x:v>0.213473031912635</x:v>
      </x:c>
      <x:c r="H12" s="30" t="n">
        <x:v>0.2223057994660592</x:v>
      </x:c>
      <x:c r="I12" s="53" t="n">
        <x:v>1.75</x:v>
      </x:c>
    </x:row>
    <x:row r="13">
      <x:c r="A13" s="27" t="str">
        <x:v>松濤一館</x:v>
      </x:c>
      <x:c r="B13" s="27" t="str">
        <x:v>日立</x:v>
      </x:c>
      <x:c r="C13" s="27" t="str">
        <x:v>RAS</x:v>
      </x:c>
      <x:c r="D13" s="27" t="str">
        <x:v>11–15 年</x:v>
      </x:c>
      <x:c r="E13" s="27" t="n">
        <x:v>3</x:v>
      </x:c>
      <x:c r="F13" s="30" t="n">
        <x:v>0.1984849692273441</x:v>
      </x:c>
      <x:c r="G13" s="30" t="n">
        <x:v>0.1826946714642713</x:v>
      </x:c>
      <x:c r="H13" s="30" t="n">
        <x:v>0.2497847301720945</x:v>
      </x:c>
      <x:c r="I13" s="53" t="n">
        <x:v>1.3333333333333333</x:v>
      </x:c>
    </x:row>
    <x:row r="14">
      <x:c r="A14" s="27" t="str">
        <x:v>松濤三館</x:v>
      </x:c>
      <x:c r="B14" s="27" t="str">
        <x:v>萬士益</x:v>
      </x:c>
      <x:c r="C14" s="27" t="str">
        <x:v>RAS</x:v>
      </x:c>
      <x:c r="D14" s="27" t="str">
        <x:v>0–5 年</x:v>
      </x:c>
      <x:c r="E14" s="27" t="n">
        <x:v>1</x:v>
      </x:c>
      <x:c r="F14" s="30" t="n">
        <x:v>0.1931507947886897</x:v>
      </x:c>
      <x:c r="G14" s="30" t="n">
        <x:v>0.1931507947886897</x:v>
      </x:c>
      <x:c r="H14" s="30" t="n">
        <x:v>0.1931507947886897</x:v>
      </x:c>
      <x:c r="I14" s="53" t="n">
        <x:v>2</x:v>
      </x:c>
    </x:row>
    <x:row r="15">
      <x:c r="A15" s="27" t="str">
        <x:v>松濤一館</x:v>
      </x:c>
      <x:c r="B15" s="27" t="str">
        <x:v>日立</x:v>
      </x:c>
      <x:c r="C15" s="27" t="str">
        <x:v>RAS</x:v>
      </x:c>
      <x:c r="D15" s="27" t="str">
        <x:v>6–10 年</x:v>
      </x:c>
      <x:c r="E15" s="27" t="n">
        <x:v>28</x:v>
      </x:c>
      <x:c r="F15" s="30" t="n">
        <x:v>0.1684512542445136</x:v>
      </x:c>
      <x:c r="G15" s="30" t="n">
        <x:v>0.1663039580555533</x:v>
      </x:c>
      <x:c r="H15" s="30" t="n">
        <x:v>0.2077885062645632</x:v>
      </x:c>
      <x:c r="I15" s="53" t="n">
        <x:v>1.5</x:v>
      </x:c>
    </x:row>
    <x:row r="16">
      <x:c r="A16" s="27" t="str">
        <x:v>松濤二館</x:v>
      </x:c>
      <x:c r="B16" s="27" t="str">
        <x:v>日立</x:v>
      </x:c>
      <x:c r="C16" s="27" t="str">
        <x:v>RAS</x:v>
      </x:c>
      <x:c r="D16" s="27" t="str">
        <x:v>6–10 年</x:v>
      </x:c>
      <x:c r="E16" s="27" t="n">
        <x:v>42</x:v>
      </x:c>
      <x:c r="F16" s="30" t="n">
        <x:v>0.162716940497488</x:v>
      </x:c>
      <x:c r="G16" s="30" t="n">
        <x:v>0.1674968432969169</x:v>
      </x:c>
      <x:c r="H16" s="30" t="n">
        <x:v>0.1897663299916951</x:v>
      </x:c>
      <x:c r="I16" s="53" t="n">
        <x:v>0.9047619047619048</x:v>
      </x:c>
    </x:row>
    <x:row r="17">
      <x:c r="A17" s="27" t="str">
        <x:v>松濤三館</x:v>
      </x:c>
      <x:c r="B17" s="27" t="str">
        <x:v>日立</x:v>
      </x:c>
      <x:c r="C17" s="27" t="str">
        <x:v>RAS</x:v>
      </x:c>
      <x:c r="D17" s="27" t="str">
        <x:v>6–10 年</x:v>
      </x:c>
      <x:c r="E17" s="27" t="n">
        <x:v>55</x:v>
      </x:c>
      <x:c r="F17" s="30" t="n">
        <x:v>0.1614919602191306</x:v>
      </x:c>
      <x:c r="G17" s="30" t="n">
        <x:v>0.1585834100931736</x:v>
      </x:c>
      <x:c r="H17" s="30" t="n">
        <x:v>0.1896596731991615</x:v>
      </x:c>
      <x:c r="I17" s="53" t="n">
        <x:v>0.7454545454545455</x:v>
      </x:c>
    </x:row>
    <x:row r="18">
      <x:c r="A18" s="27" t="str">
        <x:v>松濤一館</x:v>
      </x:c>
      <x:c r="B18" s="27" t="str">
        <x:v>日立</x:v>
      </x:c>
      <x:c r="C18" s="27" t="str">
        <x:v>其他</x:v>
      </x:c>
      <x:c r="D18" s="27" t="str">
        <x:v>11–15 年</x:v>
      </x:c>
      <x:c r="E18" s="27" t="n">
        <x:v>2</x:v>
      </x:c>
      <x:c r="F18" s="30" t="n">
        <x:v>0.1603416173923619</x:v>
      </x:c>
      <x:c r="G18" s="30" t="n">
        <x:v>0.1603416173923619</x:v>
      </x:c>
      <x:c r="H18" s="30" t="n">
        <x:v>0.1716654501819788</x:v>
      </x:c>
      <x:c r="I18" s="53" t="n">
        <x:v>1</x:v>
      </x:c>
    </x:row>
    <x:row r="19">
      <x:c r="A19" s="27" t="str">
        <x:v>松濤一館</x:v>
      </x:c>
      <x:c r="B19" s="27" t="str">
        <x:v>日立</x:v>
      </x:c>
      <x:c r="C19" s="27" t="str">
        <x:v>RAS</x:v>
      </x:c>
      <x:c r="D19" s="27" t="str">
        <x:v>0–5 年</x:v>
      </x:c>
      <x:c r="E19" s="27" t="n">
        <x:v>28</x:v>
      </x:c>
      <x:c r="F19" s="30" t="n">
        <x:v>0.142425711465479</x:v>
      </x:c>
      <x:c r="G19" s="30" t="n">
        <x:v>0.1365961719881064</x:v>
      </x:c>
      <x:c r="H19" s="30" t="n">
        <x:v>0.1847804422594114</x:v>
      </x:c>
      <x:c r="I19" s="53" t="n">
        <x:v>2.2857142857142856</x:v>
      </x:c>
    </x:row>
    <x:row r="20">
      <x:c r="A20" s="27" t="str">
        <x:v>松濤三館</x:v>
      </x:c>
      <x:c r="B20" s="27" t="str">
        <x:v>日立</x:v>
      </x:c>
      <x:c r="C20" s="27" t="str">
        <x:v>RAS</x:v>
      </x:c>
      <x:c r="D20" s="27" t="str">
        <x:v>0–5 年</x:v>
      </x:c>
      <x:c r="E20" s="27" t="n">
        <x:v>56</x:v>
      </x:c>
      <x:c r="F20" s="30" t="n">
        <x:v>0.1417580315802538</x:v>
      </x:c>
      <x:c r="G20" s="30" t="n">
        <x:v>0.1292070552687934</x:v>
      </x:c>
      <x:c r="H20" s="30" t="n">
        <x:v>0.1922329079034623</x:v>
      </x:c>
      <x:c r="I20" s="53" t="n">
        <x:v>2.4107142857142856</x:v>
      </x:c>
    </x:row>
    <x:row r="21">
      <x:c r="A21" s="27" t="str">
        <x:v>松濤二館</x:v>
      </x:c>
      <x:c r="B21" s="27" t="str">
        <x:v>日立</x:v>
      </x:c>
      <x:c r="C21" s="27" t="str">
        <x:v>RAS</x:v>
      </x:c>
      <x:c r="D21" s="27" t="str">
        <x:v>0–5 年</x:v>
      </x:c>
      <x:c r="E21" s="27" t="n">
        <x:v>30</x:v>
      </x:c>
      <x:c r="F21" s="30" t="n">
        <x:v>0.1416037047114334</x:v>
      </x:c>
      <x:c r="G21" s="30" t="n">
        <x:v>0.1270109410728994</x:v>
      </x:c>
      <x:c r="H21" s="30" t="n">
        <x:v>0.1896576092412997</x:v>
      </x:c>
      <x:c r="I21" s="53" t="n">
        <x:v>1.8333333333333333</x:v>
      </x:c>
    </x:row>
    <x:row r="22">
      <x:c r="A22" s="27" t="str">
        <x:v>松濤二館</x:v>
      </x:c>
      <x:c r="B22" s="27" t="str">
        <x:v>萬士益</x:v>
      </x:c>
      <x:c r="C22" s="27" t="str">
        <x:v>RA/RAC</x:v>
      </x:c>
      <x:c r="D22" s="27" t="str">
        <x:v>6–10 年</x:v>
      </x:c>
      <x:c r="E22" s="27" t="n">
        <x:v>33</x:v>
      </x:c>
      <x:c r="F22" s="30" t="n">
        <x:v>0.1352184241274353</x:v>
      </x:c>
      <x:c r="G22" s="30" t="n">
        <x:v>0.1359345452919084</x:v>
      </x:c>
      <x:c r="H22" s="30" t="n">
        <x:v>0.1511551056734106</x:v>
      </x:c>
      <x:c r="I22" s="53" t="n">
        <x:v>0.5151515151515151</x:v>
      </x:c>
    </x:row>
    <x:row r="23">
      <x:c r="A23" s="27" t="str">
        <x:v>松濤三館</x:v>
      </x:c>
      <x:c r="B23" s="27" t="str">
        <x:v>萬士益</x:v>
      </x:c>
      <x:c r="C23" s="27" t="str">
        <x:v>其他</x:v>
      </x:c>
      <x:c r="D23" s="27" t="str">
        <x:v>0–5 年</x:v>
      </x:c>
      <x:c r="E23" s="27" t="n">
        <x:v>8</x:v>
      </x:c>
      <x:c r="F23" s="30" t="n">
        <x:v>0.1011331758689154</x:v>
      </x:c>
      <x:c r="G23" s="30" t="n">
        <x:v>0.1010625511686692</x:v>
      </x:c>
      <x:c r="H23" s="30" t="n">
        <x:v>0.1012320504492601</x:v>
      </x:c>
      <x:c r="I23" s="53" t="n">
        <x:v>0</x:v>
      </x:c>
    </x:row>
    <x:row r="24">
      <x:c r="A24" s="28" t="str">
        <x:v>松濤二館</x:v>
      </x:c>
      <x:c r="B24" s="28" t="str">
        <x:v>萬士益</x:v>
      </x:c>
      <x:c r="C24" s="28" t="str">
        <x:v>其他</x:v>
      </x:c>
      <x:c r="D24" s="28" t="str">
        <x:v>0–5 年</x:v>
      </x:c>
      <x:c r="E24" s="28" t="n">
        <x:v>2</x:v>
      </x:c>
      <x:c r="F24" s="51" t="n">
        <x:v>0.0920236470843867</x:v>
      </x:c>
      <x:c r="G24" s="51" t="n">
        <x:v>0.0920236470843867</x:v>
      </x:c>
      <x:c r="H24" s="51" t="n">
        <x:v>0.0995725941140357</x:v>
      </x:c>
      <x:c r="I24" s="54" t="n">
        <x:v>0</x:v>
      </x:c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</x:row>
    <x:row r="27" ht="34" customHeight="1">
      <x:c r="A27" s="19" t="str">
        <x:v>驗證指標</x:v>
      </x:c>
      <x:c r="B27" s="20" t="str">
        <x:v>ROC-AUC</x:v>
      </x:c>
      <x:c r="C27" s="20" t="str">
        <x:v>Average precision</x:v>
      </x:c>
      <x:c r="D27" s="21" t="str">
        <x:v>Brier score</x:v>
      </x:c>
      <x:c r="E27" s="60"/>
      <x:c r="F27" s="60"/>
      <x:c r="G27" s="60"/>
      <x:c r="H27" s="60"/>
      <x:c r="I27" s="60"/>
    </x:row>
    <x:row r="28">
      <x:c r="A28" s="55" t="str">
        <x:v>年份向前驗證</x:v>
      </x:c>
      <x:c r="B28" s="56" t="n">
        <x:v>0.6609330207881273</x:v>
      </x:c>
      <x:c r="C28" s="56" t="n">
        <x:v>0.31632302419919534</x:v>
      </x:c>
      <x:c r="D28" s="56" t="n">
        <x:v>0.1628080860323718</x:v>
      </x:c>
      <x:c r="E28" s="60"/>
      <x:c r="F28" s="60"/>
      <x:c r="G28" s="60"/>
      <x:c r="H28" s="60"/>
      <x:c r="I28" s="60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9c0794395544a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8" hidden="0" customWidth="1"/>
    <x:col min="5" max="5" width="36" hidden="0" customWidth="1"/>
    <x:col min="6" max="6" width="14" hidden="0" customWidth="1"/>
    <x:col min="7" max="7" width="16" hidden="0" customWidth="1"/>
    <x:col min="8" max="8" width="18" hidden="0" customWidth="1"/>
  </x:cols>
  <x:sheetData>
    <x:row r="1" ht="32" customHeight="1">
      <x:c r="A1" s="3" t="str">
        <x:v>住宿人數與開館日期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住宿人數為松濤館三館合計；110–112 為學年值，兩學期共用。開館只有起始日期區間，未提供閉館日。 </x:v>
      </x:c>
      <x:c r="B2" s="7"/>
      <x:c r="C2" s="7"/>
      <x:c r="D2" s="7"/>
      <x:c r="E2" s="7"/>
      <x:c r="F2" s="7"/>
      <x:c r="G2" s="7"/>
      <x:c r="H2" s="7"/>
    </x:row>
    <x:row r="3">
      <x:c r="A3" s="60"/>
      <x:c r="B3" s="60"/>
      <x:c r="C3" s="60"/>
      <x:c r="D3" s="60"/>
      <x:c r="E3" s="60"/>
      <x:c r="F3" s="60"/>
      <x:c r="G3" s="60"/>
      <x:c r="H3" s="60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 ht="34" customHeight="1">
      <x:c r="A5" s="19" t="str">
        <x:v>學期</x:v>
      </x:c>
      <x:c r="B5" s="20" t="str">
        <x:v>開館起日</x:v>
      </x:c>
      <x:c r="C5" s="20" t="str">
        <x:v>開館末日</x:v>
      </x:c>
      <x:c r="D5" s="20" t="str">
        <x:v>來源文字</x:v>
      </x:c>
      <x:c r="E5" s="20" t="str">
        <x:v>日期解析品質</x:v>
      </x:c>
      <x:c r="F5" s="20" t="str">
        <x:v>住宿人數</x:v>
      </x:c>
      <x:c r="G5" s="20" t="str">
        <x:v>人數來源期間</x:v>
      </x:c>
      <x:c r="H5" s="21" t="str">
        <x:v>人數解析度</x:v>
      </x:c>
    </x:row>
    <x:row r="6">
      <x:c r="A6" s="26" t="str">
        <x:v>110-1</x:v>
      </x:c>
      <x:c r="B6" s="26" t="str">
        <x:v>2021-09-10</x:v>
      </x:c>
      <x:c r="C6" s="26" t="str">
        <x:v>2021-09-12</x:v>
      </x:c>
      <x:c r="D6" s="26" t="str">
        <x:v>110年9月10日12日</x:v>
      </x:c>
      <x:c r="E6" s="26" t="str">
        <x:v>來源缺少「至」字，依同月日期區間解析</x:v>
      </x:c>
      <x:c r="F6" s="26" t="n">
        <x:v>2087</x:v>
      </x:c>
      <x:c r="G6" s="26" t="str">
        <x:v>110</x:v>
      </x:c>
      <x:c r="H6" s="26" t="str">
        <x:v>學年值，兩學期共用</x:v>
      </x:c>
    </x:row>
    <x:row r="7">
      <x:c r="A7" s="27" t="str">
        <x:v>110-2</x:v>
      </x:c>
      <x:c r="B7" s="27" t="str">
        <x:v>2022-02-19</x:v>
      </x:c>
      <x:c r="C7" s="27" t="str">
        <x:v>2022-02-20</x:v>
      </x:c>
      <x:c r="D7" s="27" t="str">
        <x:v>111年2月19日至20日</x:v>
      </x:c>
      <x:c r="E7" s="27" t="str">
        <x:v>來源日期格式明確</x:v>
      </x:c>
      <x:c r="F7" s="27" t="n">
        <x:v>2087</x:v>
      </x:c>
      <x:c r="G7" s="27" t="str">
        <x:v>110</x:v>
      </x:c>
      <x:c r="H7" s="27" t="str">
        <x:v>學年值，兩學期共用</x:v>
      </x:c>
    </x:row>
    <x:row r="8">
      <x:c r="A8" s="27" t="str">
        <x:v>111-1</x:v>
      </x:c>
      <x:c r="B8" s="27" t="str">
        <x:v>2022-08-26</x:v>
      </x:c>
      <x:c r="C8" s="27" t="str">
        <x:v>2022-08-28</x:v>
      </x:c>
      <x:c r="D8" s="27" t="str">
        <x:v>111年8月26日至28日</x:v>
      </x:c>
      <x:c r="E8" s="27" t="str">
        <x:v>來源日期格式明確</x:v>
      </x:c>
      <x:c r="F8" s="27" t="n">
        <x:v>1885</x:v>
      </x:c>
      <x:c r="G8" s="27" t="str">
        <x:v>111</x:v>
      </x:c>
      <x:c r="H8" s="27" t="str">
        <x:v>學年值，兩學期共用</x:v>
      </x:c>
    </x:row>
    <x:row r="9">
      <x:c r="A9" s="27" t="str">
        <x:v>111-2</x:v>
      </x:c>
      <x:c r="B9" s="27" t="str">
        <x:v>2023-02-11</x:v>
      </x:c>
      <x:c r="C9" s="27" t="str">
        <x:v>2023-02-11</x:v>
      </x:c>
      <x:c r="D9" s="27" t="str">
        <x:v>112年2月11日</x:v>
      </x:c>
      <x:c r="E9" s="27" t="str">
        <x:v>來源日期格式明確</x:v>
      </x:c>
      <x:c r="F9" s="27" t="n">
        <x:v>1885</x:v>
      </x:c>
      <x:c r="G9" s="27" t="str">
        <x:v>111</x:v>
      </x:c>
      <x:c r="H9" s="27" t="str">
        <x:v>學年值，兩學期共用</x:v>
      </x:c>
    </x:row>
    <x:row r="10">
      <x:c r="A10" s="27" t="str">
        <x:v>112-1</x:v>
      </x:c>
      <x:c r="B10" s="27" t="str">
        <x:v>2023-09-02</x:v>
      </x:c>
      <x:c r="C10" s="27" t="str">
        <x:v>2023-09-03</x:v>
      </x:c>
      <x:c r="D10" s="27" t="str">
        <x:v>112年9月2日至9月3日</x:v>
      </x:c>
      <x:c r="E10" s="27" t="str">
        <x:v>來源日期格式明確</x:v>
      </x:c>
      <x:c r="F10" s="27" t="n">
        <x:v>2111</x:v>
      </x:c>
      <x:c r="G10" s="27" t="str">
        <x:v>112</x:v>
      </x:c>
      <x:c r="H10" s="27" t="str">
        <x:v>學年值，兩學期共用</x:v>
      </x:c>
    </x:row>
    <x:row r="11">
      <x:c r="A11" s="27" t="str">
        <x:v>112-2</x:v>
      </x:c>
      <x:c r="B11" s="27" t="str">
        <x:v>2024-02-17</x:v>
      </x:c>
      <x:c r="C11" s="27" t="str">
        <x:v>2024-02-18</x:v>
      </x:c>
      <x:c r="D11" s="27" t="str">
        <x:v>113年2月17日至2月18日</x:v>
      </x:c>
      <x:c r="E11" s="27" t="str">
        <x:v>來源日期格式明確</x:v>
      </x:c>
      <x:c r="F11" s="27" t="n">
        <x:v>2111</x:v>
      </x:c>
      <x:c r="G11" s="27" t="str">
        <x:v>112</x:v>
      </x:c>
      <x:c r="H11" s="27" t="str">
        <x:v>學年值，兩學期共用</x:v>
      </x:c>
    </x:row>
    <x:row r="12">
      <x:c r="A12" s="27" t="str">
        <x:v>113-1</x:v>
      </x:c>
      <x:c r="B12" s="27" t="str">
        <x:v>2024-08-31</x:v>
      </x:c>
      <x:c r="C12" s="27" t="str">
        <x:v>2024-09-01</x:v>
      </x:c>
      <x:c r="D12" s="27" t="str">
        <x:v>113年8月31日至9月1日</x:v>
      </x:c>
      <x:c r="E12" s="27" t="str">
        <x:v>來源日期格式明確</x:v>
      </x:c>
      <x:c r="F12" s="27" t="n">
        <x:v>2093</x:v>
      </x:c>
      <x:c r="G12" s="27" t="str">
        <x:v>113-1</x:v>
      </x:c>
      <x:c r="H12" s="27" t="str">
        <x:v>學期值</x:v>
      </x:c>
    </x:row>
    <x:row r="13">
      <x:c r="A13" s="27" t="str">
        <x:v>113-2</x:v>
      </x:c>
      <x:c r="B13" s="27" t="str">
        <x:v>2025-02-15</x:v>
      </x:c>
      <x:c r="C13" s="27" t="str">
        <x:v>2025-02-16</x:v>
      </x:c>
      <x:c r="D13" s="27" t="str">
        <x:v>114年2月15日至2月16日</x:v>
      </x:c>
      <x:c r="E13" s="27" t="str">
        <x:v>來源日期格式明確</x:v>
      </x:c>
      <x:c r="F13" s="27" t="n">
        <x:v>1974</x:v>
      </x:c>
      <x:c r="G13" s="27" t="str">
        <x:v>113-2</x:v>
      </x:c>
      <x:c r="H13" s="27" t="str">
        <x:v>學期值</x:v>
      </x:c>
    </x:row>
    <x:row r="14">
      <x:c r="A14" s="27" t="str">
        <x:v>114-1</x:v>
      </x:c>
      <x:c r="B14" s="27" t="str">
        <x:v>2025-09-06</x:v>
      </x:c>
      <x:c r="C14" s="27" t="str">
        <x:v>2025-09-07</x:v>
      </x:c>
      <x:c r="D14" s="27" t="str">
        <x:v>114年9月6日至9月7日</x:v>
      </x:c>
      <x:c r="E14" s="27" t="str">
        <x:v>來源日期格式明確</x:v>
      </x:c>
      <x:c r="F14" s="27" t="n">
        <x:v>2011</x:v>
      </x:c>
      <x:c r="G14" s="27" t="str">
        <x:v>114-1</x:v>
      </x:c>
      <x:c r="H14" s="27" t="str">
        <x:v>學期值</x:v>
      </x:c>
    </x:row>
    <x:row r="15">
      <x:c r="A15" s="28" t="str">
        <x:v>114-2</x:v>
      </x:c>
      <x:c r="B15" s="28" t="str">
        <x:v>2026-02-21</x:v>
      </x:c>
      <x:c r="C15" s="28" t="str">
        <x:v>2026-02-22</x:v>
      </x:c>
      <x:c r="D15" s="28" t="str">
        <x:v>115年2月21日至2月22日</x:v>
      </x:c>
      <x:c r="E15" s="28" t="str">
        <x:v>來源日期格式明確</x:v>
      </x:c>
      <x:c r="F15" s="28" t="n">
        <x:v>1948</x:v>
      </x:c>
      <x:c r="G15" s="28" t="str">
        <x:v>114-2</x:v>
      </x:c>
      <x:c r="H15" s="28" t="str">
        <x:v>學期值</x:v>
      </x:c>
    </x:row>
  </x:sheetData>
  <x:mergeCells>
    <x:mergeCell ref="A1:H1"/>
    <x:mergeCell ref="A2:H2"/>
  </x:mergeCells>
  <x:conditionalFormatting sqref="E6:E15">
    <x:cfRule type="containsText" dxfId="2" priority="1" operator="containsText" text="缺少"/>
  </x:conditionalFormatting>
  <x:pageMargins left="0.7" right="0.7" top="0.75" bottom="0.75" header="0.3" footer="0.3"/>
  <x:tableParts count="1">
    <x:tablePart xmlns:r="http://schemas.openxmlformats.org/officeDocument/2006/relationships" r:id="Rf47ed970810f40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55" hidden="0" customWidth="1"/>
    <x:col min="4" max="4" width="32" hidden="0" customWidth="1"/>
  </x:cols>
  <x:sheetData>
    <x:row r="1" ht="32" customHeight="1">
      <x:c r="A1" s="3" t="str">
        <x:v>方法、限制與資料來源</x:v>
      </x:c>
      <x:c r="B1" s="3"/>
      <x:c r="C1" s="3"/>
      <x:c r="D1" s="3"/>
    </x:row>
    <x:row r="2" ht="36" customHeight="1">
      <x:c r="A2" s="7" t="str">
        <x:v>本表是口試與報告撰寫用的可追溯說明；任何衍生數值都不可取代校方原始檔。 </x:v>
      </x:c>
      <x:c r="B2" s="7"/>
      <x:c r="C2" s="7"/>
      <x:c r="D2" s="7"/>
    </x:row>
    <x:row r="3">
      <x:c r="A3" s="60"/>
      <x:c r="B3" s="60"/>
      <x:c r="C3" s="60"/>
      <x:c r="D3" s="60"/>
    </x:row>
    <x:row r="4">
      <x:c r="A4" s="60"/>
      <x:c r="B4" s="60"/>
      <x:c r="C4" s="60"/>
      <x:c r="D4" s="60"/>
    </x:row>
    <x:row r="5" ht="34" customHeight="1">
      <x:c r="A5" s="19" t="str">
        <x:v>主題</x:v>
      </x:c>
      <x:c r="B5" s="20" t="str">
        <x:v>方法／規則</x:v>
      </x:c>
      <x:c r="C5" s="20" t="str">
        <x:v>限制</x:v>
      </x:c>
      <x:c r="D5" s="21" t="str">
        <x:v>來源</x:v>
      </x:c>
    </x:row>
    <x:row r="6">
      <x:c r="A6" s="57" t="str">
        <x:v>用電整併</x:v>
      </x:c>
      <x:c r="B6" s="57" t="str">
        <x:v>三館同月份皆有效才計算合計</x:v>
      </x:c>
      <x:c r="C6" s="57" t="str">
        <x:v>任一館缺值或明示電表異常則合計留白，不插補</x:v>
      </x:c>
      <x:c r="D6" s="57" t="str">
        <x:v>校方近五年用電統計表</x:v>
      </x:c>
    </x:row>
    <x:row r="7">
      <x:c r="A7" s="58" t="str">
        <x:v>電表異常</x:v>
      </x:c>
      <x:c r="B7" s="58" t="str">
        <x:v>114 年 9 月二館原值 435 但附註電表有問題</x:v>
      </x:c>
      <x:c r="C7" s="58" t="str">
        <x:v>不納入嚴格模型</x:v>
      </x:c>
      <x:c r="D7" s="58" t="str">
        <x:v>校方原表註記</x:v>
      </x:c>
    </x:row>
    <x:row r="8">
      <x:c r="A8" s="58" t="str">
        <x:v>統計離群</x:v>
      </x:c>
      <x:c r="B8" s="58" t="str">
        <x:v>與同館同月其餘年度中位數比較，低於 40% 加旗標</x:v>
      </x:c>
      <x:c r="C8" s="58" t="str">
        <x:v>保留原值但不進嚴格模型</x:v>
      </x:c>
      <x:c r="D8" s="58" t="str">
        <x:v>本研究資料品質規則</x:v>
      </x:c>
    </x:row>
    <x:row r="9">
      <x:c r="A9" s="58" t="str">
        <x:v>住宿人數</x:v>
      </x:c>
      <x:c r="B9" s="58" t="str">
        <x:v>以松濤館整體學期／學年人數配對三館合計用電</x:v>
      </x:c>
      <x:c r="C9" s="58" t="str">
        <x:v>不可拆分到單館</x:v>
      </x:c>
      <x:c r="D9" s="58" t="str">
        <x:v>住輔組近五年人數</x:v>
      </x:c>
    </x:row>
    <x:row r="10">
      <x:c r="A10" s="58" t="str">
        <x:v>開館天數</x:v>
      </x:c>
      <x:c r="B10" s="58" t="str">
        <x:v>開館日起算；其後各學期月假設全月開館</x:v>
      </x:c>
      <x:c r="C10" s="58" t="str">
        <x:v>缺少閉館日與實際每日入住，屬估算</x:v>
      </x:c>
      <x:c r="D10" s="58" t="str">
        <x:v>住輔組開館日期</x:v>
      </x:c>
    </x:row>
    <x:row r="11">
      <x:c r="A11" s="58" t="str">
        <x:v>氣溫</x:v>
      </x:c>
      <x:c r="B11" s="58" t="str">
        <x:v>淡水站 466900 全項逐月年報表的月平均氣溫</x:v>
      </x:c>
      <x:c r="C11" s="58" t="str">
        <x:v>測站外氣不等於室內溫度</x:v>
      </x:c>
      <x:c r="D11" s="58" t="str">
        <x:v>中央氣象署 CODiS</x:v>
      </x:c>
    </x:row>
    <x:row r="12">
      <x:c r="A12" s="58" t="str">
        <x:v>用電模型</x:v>
      </x:c>
      <x:c r="B12" s="58" t="str">
        <x:v>月份季節中位數＋Ridge 殘差修正；擴張視窗逐月向前驗證</x:v>
      </x:c>
      <x:c r="C12" s="58" t="str">
        <x:v>48 個月，樣本仍有限；熱水未分表</x:v>
      </x:c>
      <x:c r="D12" s="58" t="str">
        <x:v>本研究模型</x:v>
      </x:c>
    </x:row>
    <x:row r="13">
      <x:c r="A13" s="58" t="str">
        <x:v>故障標籤</x:v>
      </x:c>
      <x:c r="B13" s="58" t="str">
        <x:v>文字規則排除保養、非冷氣、行政與檢查正常</x:v>
      </x:c>
      <x:c r="C13" s="58" t="str">
        <x:v>規則分類可能誤判</x:v>
      </x:c>
      <x:c r="D13" s="58" t="str">
        <x:v>三館修繕紀錄</x:v>
      </x:c>
    </x:row>
    <x:row r="14">
      <x:c r="A14" s="58" t="str">
        <x:v>故障模型</x:v>
      </x:c>
      <x:c r="B14" s="58" t="str">
        <x:v>現有設備－年度 Logistic 迴歸；以過去年度預測後續年度</x:v>
      </x:c>
      <x:c r="C14" s="58" t="str">
        <x:v>存活者偏差；287 筆事件未能連回現有清冊</x:v>
      </x:c>
      <x:c r="D14" s="58" t="str">
        <x:v>現有冷氣清冊＋修繕紀錄</x:v>
      </x:c>
    </x:row>
    <x:row r="15">
      <x:c r="A15" s="59" t="str">
        <x:v>隱私</x:v>
      </x:c>
      <x:c r="B15" s="59" t="str">
        <x:v>不輸出使用人姓名、使用人代號；公開層不含房號與財產編號</x:v>
      </x:c>
      <x:c r="C15" s="59" t="str">
        <x:v>設備級風險僅留本機 private</x:v>
      </x:c>
      <x:c r="D15" s="59" t="str">
        <x:v>本研究資料治理規則</x:v>
      </x:c>
    </x:row>
    <x:row r="16">
      <x:c r="A16" s="60"/>
      <x:c r="B16" s="60"/>
      <x:c r="C16" s="60"/>
      <x:c r="D16" s="60"/>
    </x:row>
    <x:row r="17">
      <x:c r="A17" s="60" t="str">
        <x:v>官方網站</x:v>
      </x:c>
      <x:c r="B17" s="60" t="str">
        <x:v>https://codis.cwa.gov.tw/StationData</x:v>
      </x:c>
      <x:c r="C17" s="60"/>
      <x:c r="D17" s="60"/>
    </x:row>
    <x:row r="18">
      <x:c r="A18" s="60" t="str">
        <x:v>公開網站資料</x:v>
      </x:c>
      <x:c r="B18" s="60" t="str">
        <x:v>只含彙整資料；同步前仍需人工確認</x:v>
      </x:c>
      <x:c r="C18" s="60"/>
      <x:c r="D18" s="60"/>
    </x:row>
  </x:sheetData>
  <x:mergeCells>
    <x:mergeCell ref="A1:D1"/>
    <x:mergeCell ref="A2:D2"/>
  </x:mergeCells>
  <x:pageMargins left="0.7" right="0.7" top="0.75" bottom="0.75" header="0.3" footer="0.3"/>
</x:worksheet>
</file>