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d67c3724c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0c1b2ba044754828"/>
    <x:sheet xmlns:r="http://schemas.openxmlformats.org/officeDocument/2006/relationships" name="月用電資料" sheetId="2" r:id="Rc943a55dcf4d4b0f"/>
    <x:sheet xmlns:r="http://schemas.openxmlformats.org/officeDocument/2006/relationships" name="冷氣設備清冊" sheetId="3" r:id="Rfcbae419e843416c"/>
    <x:sheet xmlns:r="http://schemas.openxmlformats.org/officeDocument/2006/relationships" name="保養故障紀錄" sheetId="4" r:id="Ref3ca6d8d8604480"/>
    <x:sheet xmlns:r="http://schemas.openxmlformats.org/officeDocument/2006/relationships" name="資料字典" sheetId="5" r:id="R034a3c95e9de42dc"/>
    <x:sheet xmlns:r="http://schemas.openxmlformats.org/officeDocument/2006/relationships" name="品質檢核" sheetId="6" r:id="Re5cb783ae73d47e7"/>
    <x:sheet xmlns:r="http://schemas.openxmlformats.org/officeDocument/2006/relationships" name="選單設定" sheetId="7" r:id="Reb76d4d5434245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"/>
    <x:numFmt numFmtId="202" formatCode="0.0"/>
    <x:numFmt numFmtId="203" formatCode="0.00"/>
    <x:numFmt numFmtId="204" formatCode="0%"/>
    <x:numFmt numFmtId="205" formatCode="yyyy-mm-dd"/>
  </x:numFmts>
  <x:fonts count="9">
    <x:font>
      <x:sz val="11"/>
      <x:name val="Carlito"/>
    </x:font>
    <x:font>
      <x:b/>
      <x:sz val="18"/>
      <x:color rgb="FFFFFFFF"/>
      <x:name val="Microsoft JhengHei"/>
    </x:font>
    <x:font>
      <x:sz val="10"/>
      <x:color rgb="FF0B356B"/>
      <x:name val="Microsoft JhengHei"/>
    </x:font>
    <x:font>
      <x:b/>
      <x:sz val="10"/>
      <x:color rgb="FFFFFFFF"/>
      <x:name val="Microsoft JhengHei"/>
    </x:font>
    <x:font>
      <x:sz val="10"/>
      <x:color rgb="FF1D2939"/>
      <x:name val="Microsoft JhengHei"/>
    </x:font>
    <x:font>
      <x:sz val="10"/>
      <x:color rgb="FFFFFFFF"/>
      <x:name val="Microsoft JhengHei"/>
    </x:font>
    <x:font>
      <x:b/>
      <x:sz val="10"/>
      <x:color rgb="FFD76800"/>
      <x:name val="Microsoft JhengHei"/>
    </x:font>
    <x:font>
      <x:b/>
      <x:sz val="10"/>
      <x:color rgb="FF0B356B"/>
      <x:name val="Microsoft JhengHei"/>
    </x:font>
    <x:font>
      <x:sz val="11"/>
      <x:name val="Microsoft JhengHei"/>
    </x:font>
  </x:fonts>
  <x:fills count="11">
    <x:fill>
      <x:patternFill patternType="none"/>
    </x:fill>
    <x:fill>
      <x:patternFill patternType="gray125"/>
    </x:fill>
    <x:fill>
      <x:patternFill patternType="solid">
        <x:fgColor rgb="FF0B356B"/>
      </x:patternFill>
    </x:fill>
    <x:fill>
      <x:patternFill patternType="solid">
        <x:fgColor rgb="FFF2F7FF"/>
      </x:patternFill>
    </x:fill>
    <x:fill>
      <x:patternFill patternType="solid">
        <x:fgColor rgb="FF0757A6"/>
      </x:patternFill>
    </x:fill>
    <x:fill>
      <x:patternFill patternType="solid">
        <x:fgColor rgb="FFFFFBEA"/>
      </x:patternFill>
    </x:fill>
    <x:fill>
      <x:patternFill patternType="solid">
        <x:fgColor rgb="FFEAF6EF"/>
      </x:patternFill>
    </x:fill>
    <x:fill>
      <x:patternFill patternType="solid">
        <x:fgColor rgb="FFFDECEC"/>
      </x:patternFill>
    </x:fill>
    <x:fill>
      <x:patternFill patternType="solid">
        <x:fgColor rgb="FFFFF4E5"/>
      </x:patternFill>
    </x:fill>
    <x:fill>
      <x:patternFill patternType="solid">
        <x:fgColor rgb="FFFFFFFF"/>
      </x:patternFill>
    </x:fill>
    <x:fill>
      <x:patternFill patternType="solid">
        <x:fgColor rgb="FFD8E9FF"/>
      </x:patternFill>
    </x:fill>
  </x:fills>
  <x:borders count="7"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bottom style="thin">
        <x:color rgb="FFEAECF0"/>
      </x:bottom>
    </x:border>
    <x:border>
      <x:top style="thin">
        <x:color rgb="FFEAECF0"/>
      </x:top>
      <x:bottom style="thin">
        <x:color rgb="FFEAECF0"/>
      </x:bottom>
    </x:border>
    <x:border>
      <x:top style="thin">
        <x:color rgb="FFEAECF0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7" borderId="6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0" fontId="4" fillId="5" borderId="6" xfId="0" applyNumberFormat="1" applyFont="1" applyFill="1" applyBorder="1" applyAlignment="1">
      <x:alignment vertical="center"/>
    </x:xf>
    <x:xf numFmtId="201" fontId="4" fillId="5" borderId="4" xfId="0" applyNumberFormat="1" applyFont="1" applyFill="1" applyBorder="1" applyAlignment="1">
      <x:alignment vertical="center"/>
    </x:xf>
    <x:xf numFmtId="201" fontId="4" fillId="5" borderId="5" xfId="0" applyNumberFormat="1" applyFont="1" applyFill="1" applyBorder="1" applyAlignment="1">
      <x:alignment vertical="center"/>
    </x:xf>
    <x:xf numFmtId="201" fontId="4" fillId="5" borderId="6" xfId="0" applyNumberFormat="1" applyFont="1" applyFill="1" applyBorder="1" applyAlignment="1">
      <x:alignment vertical="center"/>
    </x:xf>
    <x:xf numFmtId="202" fontId="4" fillId="5" borderId="4" xfId="0" applyNumberFormat="1" applyFont="1" applyFill="1" applyBorder="1" applyAlignment="1">
      <x:alignment vertical="center"/>
    </x:xf>
    <x:xf numFmtId="202" fontId="4" fillId="5" borderId="5" xfId="0" applyNumberFormat="1" applyFont="1" applyFill="1" applyBorder="1" applyAlignment="1">
      <x:alignment vertical="center"/>
    </x:xf>
    <x:xf numFmtId="202" fontId="4" fillId="5" borderId="6" xfId="0" applyNumberFormat="1" applyFont="1" applyFill="1" applyBorder="1" applyAlignment="1">
      <x:alignment vertical="center"/>
    </x:xf>
    <x:xf numFmtId="203" fontId="4" fillId="5" borderId="4" xfId="0" applyNumberFormat="1" applyFont="1" applyFill="1" applyBorder="1" applyAlignment="1">
      <x:alignment vertical="center"/>
    </x:xf>
    <x:xf numFmtId="203" fontId="4" fillId="5" borderId="5" xfId="0" applyNumberFormat="1" applyFont="1" applyFill="1" applyBorder="1" applyAlignment="1">
      <x:alignment vertical="center"/>
    </x:xf>
    <x:xf numFmtId="203" fontId="4" fillId="5" borderId="6" xfId="0" applyNumberFormat="1" applyFont="1" applyFill="1" applyBorder="1" applyAlignment="1">
      <x:alignment vertical="center"/>
    </x:xf>
    <x:xf numFmtId="204" fontId="4" fillId="5" borderId="4" xfId="0" applyNumberFormat="1" applyFont="1" applyFill="1" applyBorder="1" applyAlignment="1">
      <x:alignment vertical="center"/>
    </x:xf>
    <x:xf numFmtId="204" fontId="4" fillId="5" borderId="5" xfId="0" applyNumberFormat="1" applyFont="1" applyFill="1" applyBorder="1" applyAlignment="1">
      <x:alignment vertical="center"/>
    </x:xf>
    <x:xf numFmtId="204" fontId="4" fillId="5" borderId="6" xfId="0" applyNumberFormat="1" applyFont="1" applyFill="1" applyBorder="1" applyAlignment="1">
      <x:alignment vertical="center"/>
    </x:xf>
    <x:xf numFmtId="205" fontId="4" fillId="5" borderId="4" xfId="0" applyNumberFormat="1" applyFont="1" applyFill="1" applyBorder="1" applyAlignment="1">
      <x:alignment vertical="center"/>
    </x:xf>
    <x:xf numFmtId="205" fontId="4" fillId="5" borderId="5" xfId="0" applyNumberFormat="1" applyFont="1" applyFill="1" applyBorder="1" applyAlignment="1">
      <x:alignment vertical="center"/>
    </x:xf>
    <x:xf numFmtId="205" fontId="4" fillId="5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201" fontId="4" fillId="9" borderId="4" xfId="0" applyNumberFormat="1" applyFont="1" applyFill="1" applyBorder="1" applyAlignment="1">
      <x:alignment vertical="center"/>
    </x:xf>
    <x:xf numFmtId="201" fontId="4" fillId="9" borderId="5" xfId="0" applyNumberFormat="1" applyFont="1" applyFill="1" applyBorder="1" applyAlignment="1">
      <x:alignment vertical="center"/>
    </x:xf>
    <x:xf numFmtId="201" fontId="4" fillId="9" borderId="6" xfId="0" applyNumberFormat="1" applyFont="1" applyFill="1" applyBorder="1" applyAlignment="1">
      <x:alignment vertical="center"/>
    </x:xf>
    <x:xf numFmtId="0" fontId="4" fillId="10" borderId="4" xfId="0" applyNumberFormat="1" applyFont="1" applyFill="1" applyBorder="1" applyAlignment="1">
      <x:alignment vertical="center"/>
    </x:xf>
    <x:xf numFmtId="0" fontId="4" fillId="10" borderId="5" xfId="0" applyNumberFormat="1" applyFont="1" applyFill="1" applyBorder="1" applyAlignment="1">
      <x:alignment vertical="center"/>
    </x:xf>
    <x:xf numFmtId="0" fontId="7" fillId="10" borderId="4" xfId="0" applyNumberFormat="1" applyFont="1" applyFill="1" applyBorder="1" applyAlignment="1">
      <x:alignment vertical="center"/>
    </x:xf>
    <x:xf numFmtId="0" fontId="7" fillId="10" borderId="5" xfId="0" applyNumberFormat="1" applyFont="1" applyFill="1" applyBorder="1" applyAlignment="1">
      <x:alignment vertical="center"/>
    </x:xf>
    <x:xf numFmtId="0" fontId="7" fillId="10" borderId="4" xfId="0" applyNumberFormat="1" applyFont="1" applyFill="1" applyBorder="1" applyAlignment="1">
      <x:alignment horizontal="center" vertical="center"/>
    </x:xf>
    <x:xf numFmtId="0" fontId="7" fillId="10" borderId="5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8794E"/>
      </x:font>
      <x:fill>
        <x:patternFill patternType="solid">
          <x:bgColor rgb="FFEAF6E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4142bcd64439f" /><Relationship Type="http://schemas.openxmlformats.org/officeDocument/2006/relationships/theme" Target="/xl/theme/theme1.xml" Id="R5c83abeedfab4100" /><Relationship Type="http://schemas.openxmlformats.org/officeDocument/2006/relationships/sharedStrings" Target="/xl/sharedStrings.xml" Id="Rc96d97a0fc4245e9" /><Relationship Type="http://schemas.openxmlformats.org/officeDocument/2006/relationships/worksheet" Target="/xl/worksheets/sheet1.xml" Id="R0c1b2ba044754828" /><Relationship Type="http://schemas.openxmlformats.org/officeDocument/2006/relationships/worksheet" Target="/xl/worksheets/sheet2.xml" Id="Rc943a55dcf4d4b0f" /><Relationship Type="http://schemas.openxmlformats.org/officeDocument/2006/relationships/worksheet" Target="/xl/worksheets/sheet3.xml" Id="Rfcbae419e843416c" /><Relationship Type="http://schemas.openxmlformats.org/officeDocument/2006/relationships/worksheet" Target="/xl/worksheets/sheet4.xml" Id="Ref3ca6d8d8604480" /><Relationship Type="http://schemas.openxmlformats.org/officeDocument/2006/relationships/worksheet" Target="/xl/worksheets/sheet5.xml" Id="R034a3c95e9de42dc" /><Relationship Type="http://schemas.openxmlformats.org/officeDocument/2006/relationships/worksheet" Target="/xl/worksheets/sheet6.xml" Id="Re5cb783ae73d47e7" /><Relationship Type="http://schemas.openxmlformats.org/officeDocument/2006/relationships/worksheet" Target="/xl/worksheets/sheet7.xml" Id="Reb76d4d543424573" /></Relationships>
</file>

<file path=xl/tables/table1.xml><?xml version="1.0" encoding="utf-8"?>
<x:table xmlns:x="http://schemas.openxmlformats.org/spreadsheetml/2006/main" id="1" name="MonthlyEnergyData" displayName="MonthlyEnergyData" ref="A5:J41" headerRowCount="1" totalsRowCount="0" totalsRowShown="0">
  <x:tableColumns count="10">
    <x:tableColumn id="1" name="年份"/>
    <x:tableColumn id="2" name="月份"/>
    <x:tableColumn id="3" name="總用電_kWh"/>
    <x:tableColumn id="4" name="熱水用電_kWh"/>
    <x:tableColumn id="5" name="住宿天數"/>
    <x:tableColumn id="6" name="住宿人數"/>
    <x:tableColumn id="7" name="開館天數"/>
    <x:tableColumn id="8" name="日平均溫度_C"/>
    <x:tableColumn id="9" name="資料來源"/>
    <x:tableColumn id="10" name="備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rConditionerAssets" displayName="AirConditionerAssets" ref="A5:R35" headerRowCount="1" totalsRowCount="0" totalsRowShown="0">
  <x:tableColumns count="18">
    <x:tableColumn id="1" name="設備群組_ID"/>
    <x:tableColumn id="2" name="位置"/>
    <x:tableColumn id="3" name="冷氣機型"/>
    <x:tableColumn id="4" name="廠牌型號"/>
    <x:tableColumn id="5" name="額定功率_kW"/>
    <x:tableColumn id="6" name="台數"/>
    <x:tableColumn id="7" name="平均機齡_年"/>
    <x:tableColumn id="8" name="日平均溫度_C"/>
    <x:tableColumn id="9" name="設定溫度_C"/>
    <x:tableColumn id="10" name="每月運轉天數"/>
    <x:tableColumn id="11" name="使用率_00_06"/>
    <x:tableColumn id="12" name="使用率_06_12"/>
    <x:tableColumn id="13" name="使用率_12_18"/>
    <x:tableColumn id="14" name="使用率_18_24"/>
    <x:tableColumn id="15" name="距上次保養_月"/>
    <x:tableColumn id="16" name="近兩年故障次數"/>
    <x:tableColumn id="17" name="資料來源"/>
    <x:tableColumn id="18" name="備註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intenanceEvents" displayName="MaintenanceEvents" ref="A5:J105" headerRowCount="1" totalsRowCount="0" totalsRowShown="0">
  <x:tableColumns count="10">
    <x:tableColumn id="1" name="事件日期"/>
    <x:tableColumn id="2" name="設備群組_ID"/>
    <x:tableColumn id="3" name="事件類型"/>
    <x:tableColumn id="4" name="故障類型"/>
    <x:tableColumn id="5" name="停機時數"/>
    <x:tableColumn id="6" name="維修成本_元"/>
    <x:tableColumn id="7" name="更換零件"/>
    <x:tableColumn id="8" name="處理結果"/>
    <x:tableColumn id="9" name="資料來源"/>
    <x:tableColumn id="10" name="備註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Dictionary" displayName="DataDictionary" ref="A5:G23" headerRowCount="1" totalsRowCount="0" totalsRowShown="0">
  <x:tableColumns count="7">
    <x:tableColumn id="1" name="工作表"/>
    <x:tableColumn id="2" name="欄位"/>
    <x:tableColumn id="3" name="型別"/>
    <x:tableColumn id="4" name="單位"/>
    <x:tableColumn id="5" name="必填"/>
    <x:tableColumn id="6" name="檢核規則"/>
    <x:tableColumn id="7" name="定義／資料來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46b335cb1e48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d2bd7a57d347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631147e7074b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4ac3ba7dcd45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54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 ht="32" customHeight="1">
      <x:c r="A1" s="3" t="str">
        <x:v>宿舍用電與冷氣資料蒐集工作簿</x:v>
      </x:c>
      <x:c r="B1" s="3" t="str">
        <x:v>宿舍用電與冷氣資料蒐集工作簿</x:v>
      </x:c>
      <x:c r="C1" s="3" t="str">
        <x:v>宿舍用電與冷氣資料蒐集工作簿</x:v>
      </x:c>
      <x:c r="D1" s="3" t="str">
        <x:v>宿舍用電與冷氣資料蒐集工作簿</x:v>
      </x:c>
      <x:c r="E1" s="3" t="str">
        <x:v>宿舍用電與冷氣資料蒐集工作簿</x:v>
      </x:c>
      <x:c r="F1" s="3" t="str">
        <x:v>宿舍用電與冷氣資料蒐集工作簿</x:v>
      </x:c>
      <x:c r="G1" s="3" t="str">
        <x:v>宿舍用電與冷氣資料蒐集工作簿</x:v>
      </x:c>
      <x:c r="H1" s="3" t="str">
        <x:v>宿舍用電與冷氣資料蒐集工作簿</x:v>
      </x:c>
    </x:row>
    <x:row r="2" ht="34" customHeight="1">
      <x:c r="A2" s="7" t="str">
        <x:v>用途：蒐集可供 Streamlit 系統、專題報告與模型驗證使用的原始資料。黃色欄位為人工輸入；請勿填寫姓名、學號、房號等個人資料。</x:v>
      </x:c>
      <x:c r="B2" s="7" t="str">
        <x:v>用途：蒐集可供 Streamlit 系統、專題報告與模型驗證使用的原始資料。黃色欄位為人工輸入；請勿填寫姓名、學號、房號等個人資料。</x:v>
      </x:c>
      <x:c r="C2" s="7" t="str">
        <x:v>用途：蒐集可供 Streamlit 系統、專題報告與模型驗證使用的原始資料。黃色欄位為人工輸入；請勿填寫姓名、學號、房號等個人資料。</x:v>
      </x:c>
      <x:c r="D2" s="7" t="str">
        <x:v>用途：蒐集可供 Streamlit 系統、專題報告與模型驗證使用的原始資料。黃色欄位為人工輸入；請勿填寫姓名、學號、房號等個人資料。</x:v>
      </x:c>
      <x:c r="E2" s="7" t="str">
        <x:v>用途：蒐集可供 Streamlit 系統、專題報告與模型驗證使用的原始資料。黃色欄位為人工輸入；請勿填寫姓名、學號、房號等個人資料。</x:v>
      </x:c>
      <x:c r="F2" s="7" t="str">
        <x:v>用途：蒐集可供 Streamlit 系統、專題報告與模型驗證使用的原始資料。黃色欄位為人工輸入；請勿填寫姓名、學號、房號等個人資料。</x:v>
      </x:c>
      <x:c r="G2" s="7" t="str">
        <x:v>用途：蒐集可供 Streamlit 系統、專題報告與模型驗證使用的原始資料。黃色欄位為人工輸入；請勿填寫姓名、學號、房號等個人資料。</x:v>
      </x:c>
      <x:c r="H2" s="7" t="str">
        <x:v>用途：蒐集可供 Streamlit 系統、專題報告與模型驗證使用的原始資料。黃色欄位為人工輸入；請勿填寫姓名、學號、房號等個人資料。</x:v>
      </x:c>
    </x:row>
    <x:row r="3">
      <x:c r="A3" s="75"/>
      <x:c r="B3" s="75"/>
      <x:c r="C3" s="75"/>
      <x:c r="D3" s="75"/>
      <x:c r="E3" s="75"/>
      <x:c r="F3" s="75"/>
      <x:c r="G3" s="75"/>
      <x:c r="H3" s="75"/>
    </x:row>
    <x:row r="4" ht="36" customHeight="1">
      <x:c r="A4" s="19" t="str">
        <x:v>工作表</x:v>
      </x:c>
      <x:c r="B4" s="20" t="str">
        <x:v>使用目的</x:v>
      </x:c>
      <x:c r="C4" s="21" t="str">
        <x:v>填寫原則</x:v>
      </x:c>
      <x:c r="D4" s="75"/>
      <x:c r="E4" s="75"/>
      <x:c r="F4" s="75"/>
      <x:c r="G4" s="75"/>
      <x:c r="H4" s="75"/>
    </x:row>
    <x:row r="5">
      <x:c r="A5" s="26" t="str">
        <x:v>月用電資料</x:v>
      </x:c>
      <x:c r="B5" s="26" t="str">
        <x:v>每月總用電、住宿、開館與氣溫</x:v>
      </x:c>
      <x:c r="C5" s="26" t="str">
        <x:v>每列一個年月，至少 12 筆，建議 24–36 筆</x:v>
      </x:c>
      <x:c r="D5" s="75"/>
      <x:c r="E5" s="75"/>
      <x:c r="F5" s="75"/>
      <x:c r="G5" s="75"/>
      <x:c r="H5" s="75"/>
    </x:row>
    <x:row r="6">
      <x:c r="A6" s="27" t="str">
        <x:v>冷氣設備清冊</x:v>
      </x:c>
      <x:c r="B6" s="27" t="str">
        <x:v>以設備群組進行分時耗電及故障風險分析</x:v>
      </x:c>
      <x:c r="C6" s="27" t="str">
        <x:v>同型號、同位置且條件相近者可合併一列</x:v>
      </x:c>
      <x:c r="D6" s="75"/>
      <x:c r="E6" s="75"/>
      <x:c r="F6" s="75"/>
      <x:c r="G6" s="75"/>
      <x:c r="H6" s="75"/>
    </x:row>
    <x:row r="7">
      <x:c r="A7" s="27" t="str">
        <x:v>保養故障紀錄</x:v>
      </x:c>
      <x:c r="B7" s="27" t="str">
        <x:v>建立可訓練故障模型的事件標籤</x:v>
      </x:c>
      <x:c r="C7" s="27" t="str">
        <x:v>每一次保養、巡檢或故障各一列</x:v>
      </x:c>
      <x:c r="D7" s="75"/>
      <x:c r="E7" s="75"/>
      <x:c r="F7" s="75"/>
      <x:c r="G7" s="75"/>
      <x:c r="H7" s="75"/>
    </x:row>
    <x:row r="8">
      <x:c r="A8" s="27" t="str">
        <x:v>資料字典</x:v>
      </x:c>
      <x:c r="B8" s="27" t="str">
        <x:v>統一定義、單位、必填與檢核方式</x:v>
      </x:c>
      <x:c r="C8" s="27" t="str">
        <x:v>修改欄位前先確認網站是否同步更新</x:v>
      </x:c>
      <x:c r="D8" s="75"/>
      <x:c r="E8" s="75"/>
      <x:c r="F8" s="75"/>
      <x:c r="G8" s="75"/>
      <x:c r="H8" s="75"/>
    </x:row>
    <x:row r="9">
      <x:c r="A9" s="27" t="str">
        <x:v>品質檢核</x:v>
      </x:c>
      <x:c r="B9" s="27" t="str">
        <x:v>快速檢查筆數、總用電與明顯異常</x:v>
      </x:c>
      <x:c r="C9" s="27" t="str">
        <x:v>上傳前確認所有異常數量為 0</x:v>
      </x:c>
      <x:c r="D9" s="75"/>
      <x:c r="E9" s="75"/>
      <x:c r="F9" s="75"/>
      <x:c r="G9" s="75"/>
      <x:c r="H9" s="75"/>
    </x:row>
    <x:row r="10">
      <x:c r="A10" s="28" t="str">
        <x:v>選單設定</x:v>
      </x:c>
      <x:c r="B10" s="28" t="str">
        <x:v>冷氣機型、事件類型等標準選項</x:v>
      </x:c>
      <x:c r="C10" s="28" t="str">
        <x:v>如需增加類別，應同步更新程式與報告</x:v>
      </x:c>
      <x:c r="D10" s="75"/>
      <x:c r="E10" s="75"/>
      <x:c r="F10" s="75"/>
      <x:c r="G10" s="75"/>
      <x:c r="H10" s="75"/>
    </x:row>
    <x:row r="11">
      <x:c r="A11" s="75"/>
      <x:c r="B11" s="75"/>
      <x:c r="C11" s="75"/>
      <x:c r="D11" s="75"/>
      <x:c r="E11" s="75"/>
      <x:c r="F11" s="75"/>
      <x:c r="G11" s="75"/>
      <x:c r="H11" s="75"/>
    </x:row>
    <x:row r="12" ht="36" customHeight="1">
      <x:c r="A12" s="19" t="str">
        <x:v>顏色</x:v>
      </x:c>
      <x:c r="B12" s="20" t="str">
        <x:v>意義</x:v>
      </x:c>
      <x:c r="C12" s="21" t="str">
        <x:v>處理方式</x:v>
      </x:c>
      <x:c r="D12" s="75"/>
      <x:c r="E12" s="75"/>
      <x:c r="F12" s="75"/>
      <x:c r="G12" s="75"/>
      <x:c r="H12" s="75"/>
    </x:row>
    <x:row r="13">
      <x:c r="A13" s="29" t="str">
        <x:v>黃色</x:v>
      </x:c>
      <x:c r="B13" s="26" t="str">
        <x:v>可輸入的原始資料</x:v>
      </x:c>
      <x:c r="C13" s="26" t="str">
        <x:v>由資料提供單位填寫</x:v>
      </x:c>
      <x:c r="D13" s="75"/>
      <x:c r="E13" s="75"/>
      <x:c r="F13" s="75"/>
      <x:c r="G13" s="75"/>
      <x:c r="H13" s="75"/>
    </x:row>
    <x:row r="14">
      <x:c r="A14" s="31" t="str">
        <x:v>藍色</x:v>
      </x:c>
      <x:c r="B14" s="27" t="str">
        <x:v>標題與固定欄位名稱</x:v>
      </x:c>
      <x:c r="C14" s="27" t="str">
        <x:v>不要任意改名</x:v>
      </x:c>
      <x:c r="D14" s="75"/>
      <x:c r="E14" s="75"/>
      <x:c r="F14" s="75"/>
      <x:c r="G14" s="75"/>
      <x:c r="H14" s="75"/>
    </x:row>
    <x:row r="15">
      <x:c r="A15" s="32" t="str">
        <x:v>綠色</x:v>
      </x:c>
      <x:c r="B15" s="27" t="str">
        <x:v>檢核通過或可使用</x:v>
      </x:c>
      <x:c r="C15" s="27" t="str">
        <x:v>仍需保留資料來源</x:v>
      </x:c>
      <x:c r="D15" s="75"/>
      <x:c r="E15" s="75"/>
      <x:c r="F15" s="75"/>
      <x:c r="G15" s="75"/>
      <x:c r="H15" s="75"/>
    </x:row>
    <x:row r="16">
      <x:c r="A16" s="33" t="str">
        <x:v>紅色</x:v>
      </x:c>
      <x:c r="B16" s="28" t="str">
        <x:v>異常或缺漏</x:v>
      </x:c>
      <x:c r="C16" s="28" t="str">
        <x:v>修正後再上傳網站</x:v>
      </x:c>
      <x:c r="D16" s="75"/>
      <x:c r="E16" s="75"/>
      <x:c r="F16" s="75"/>
      <x:c r="G16" s="75"/>
      <x:c r="H16" s="75"/>
    </x:row>
    <x:row r="17">
      <x:c r="A17" s="75"/>
      <x:c r="B17" s="75"/>
      <x:c r="C17" s="75"/>
      <x:c r="D17" s="75"/>
      <x:c r="E17" s="75"/>
      <x:c r="F17" s="75"/>
      <x:c r="G17" s="75"/>
      <x:c r="H17" s="75"/>
    </x:row>
    <x:row r="18">
      <x:c r="A18" s="36" t="str">
        <x:v>正式資料原則</x:v>
      </x:c>
      <x:c r="B18" s="36" t="str">
        <x:v>示範資料不可作為校內實績</x:v>
      </x:c>
      <x:c r="C18" s="36" t="str">
        <x:v>每份資料要記錄來源、負責單位、更新日期與量測期間</x:v>
      </x:c>
      <x:c r="D18" s="75"/>
      <x:c r="E18" s="75"/>
      <x:c r="F18" s="75"/>
      <x:c r="G18" s="75"/>
      <x:c r="H18" s="75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16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22" hidden="0" customWidth="1"/>
    <x:col min="10" max="10" width="34" hidden="0" customWidth="1"/>
  </x:cols>
  <x:sheetData>
    <x:row r="1" ht="32" customHeight="1">
      <x:c r="A1" s="3" t="str">
        <x:v>月用電原始資料（每列一個年月）</x:v>
      </x:c>
      <x:c r="B1" s="3" t="str">
        <x:v>月用電原始資料（每列一個年月）</x:v>
      </x:c>
      <x:c r="C1" s="3" t="str">
        <x:v>月用電原始資料（每列一個年月）</x:v>
      </x:c>
      <x:c r="D1" s="3" t="str">
        <x:v>月用電原始資料（每列一個年月）</x:v>
      </x:c>
      <x:c r="E1" s="3" t="str">
        <x:v>月用電原始資料（每列一個年月）</x:v>
      </x:c>
      <x:c r="F1" s="3" t="str">
        <x:v>月用電原始資料（每列一個年月）</x:v>
      </x:c>
      <x:c r="G1" s="3" t="str">
        <x:v>月用電原始資料（每列一個年月）</x:v>
      </x:c>
      <x:c r="H1" s="3" t="str">
        <x:v>月用電原始資料（每列一個年月）</x:v>
      </x:c>
      <x:c r="I1" s="3" t="str">
        <x:v>月用電原始資料（每列一個年月）</x:v>
      </x:c>
      <x:c r="J1" s="3" t="str">
        <x:v>月用電原始資料（每列一個年月）</x:v>
      </x:c>
    </x:row>
    <x:row r="2" ht="34" customHeight="1">
      <x:c r="A2" s="7" t="str">
        <x:v>正式研究請保留至少 24–36 個月；同一年份與月份不可重複。網站會自動計算住宿人日、冷房度日與單位用電。</x:v>
      </x:c>
      <x:c r="B2" s="7" t="str">
        <x:v>正式研究請保留至少 24–36 個月；同一年份與月份不可重複。網站會自動計算住宿人日、冷房度日與單位用電。</x:v>
      </x:c>
      <x:c r="C2" s="7" t="str">
        <x:v>正式研究請保留至少 24–36 個月；同一年份與月份不可重複。網站會自動計算住宿人日、冷房度日與單位用電。</x:v>
      </x:c>
      <x:c r="D2" s="7" t="str">
        <x:v>正式研究請保留至少 24–36 個月；同一年份與月份不可重複。網站會自動計算住宿人日、冷房度日與單位用電。</x:v>
      </x:c>
      <x:c r="E2" s="7" t="str">
        <x:v>正式研究請保留至少 24–36 個月；同一年份與月份不可重複。網站會自動計算住宿人日、冷房度日與單位用電。</x:v>
      </x:c>
      <x:c r="F2" s="7" t="str">
        <x:v>正式研究請保留至少 24–36 個月；同一年份與月份不可重複。網站會自動計算住宿人日、冷房度日與單位用電。</x:v>
      </x:c>
      <x:c r="G2" s="7" t="str">
        <x:v>正式研究請保留至少 24–36 個月；同一年份與月份不可重複。網站會自動計算住宿人日、冷房度日與單位用電。</x:v>
      </x:c>
      <x:c r="H2" s="7" t="str">
        <x:v>正式研究請保留至少 24–36 個月；同一年份與月份不可重複。網站會自動計算住宿人日、冷房度日與單位用電。</x:v>
      </x:c>
      <x:c r="I2" s="7" t="str">
        <x:v>正式研究請保留至少 24–36 個月；同一年份與月份不可重複。網站會自動計算住宿人日、冷房度日與單位用電。</x:v>
      </x:c>
      <x:c r="J2" s="7" t="str">
        <x:v>正式研究請保留至少 24–36 個月；同一年份與月份不可重複。網站會自動計算住宿人日、冷房度日與單位用電。</x:v>
      </x:c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</x:row>
    <x:row r="4">
      <x:c r="A4" s="75"/>
      <x:c r="B4" s="75"/>
      <x:c r="C4" s="75"/>
      <x:c r="D4" s="75"/>
      <x:c r="E4" s="75"/>
      <x:c r="F4" s="75"/>
      <x:c r="G4" s="75"/>
      <x:c r="H4" s="75"/>
      <x:c r="I4" s="75"/>
      <x:c r="J4" s="75"/>
    </x:row>
    <x:row r="5" ht="36" customHeight="1">
      <x:c r="A5" s="19" t="str">
        <x:v>年份</x:v>
      </x:c>
      <x:c r="B5" s="20" t="str">
        <x:v>月份</x:v>
      </x:c>
      <x:c r="C5" s="20" t="str">
        <x:v>總用電_kWh</x:v>
      </x:c>
      <x:c r="D5" s="20" t="str">
        <x:v>熱水用電_kWh</x:v>
      </x:c>
      <x:c r="E5" s="20" t="str">
        <x:v>住宿天數</x:v>
      </x:c>
      <x:c r="F5" s="20" t="str">
        <x:v>住宿人數</x:v>
      </x:c>
      <x:c r="G5" s="20" t="str">
        <x:v>開館天數</x:v>
      </x:c>
      <x:c r="H5" s="20" t="str">
        <x:v>日平均溫度_C</x:v>
      </x:c>
      <x:c r="I5" s="20" t="str">
        <x:v>資料來源</x:v>
      </x:c>
      <x:c r="J5" s="21" t="str">
        <x:v>備註</x:v>
      </x:c>
    </x:row>
    <x:row r="6">
      <x:c r="A6" s="39" t="n">
        <x:v>2024</x:v>
      </x:c>
      <x:c r="B6" s="39" t="n">
        <x:v>1</x:v>
      </x:c>
      <x:c r="C6" s="42" t="n">
        <x:v>19521</x:v>
      </x:c>
      <x:c r="D6" s="42" t="n">
        <x:v>6192</x:v>
      </x:c>
      <x:c r="E6" s="39" t="n">
        <x:v>16</x:v>
      </x:c>
      <x:c r="F6" s="39" t="n">
        <x:v>653</x:v>
      </x:c>
      <x:c r="G6" s="39" t="n">
        <x:v>31</x:v>
      </x:c>
      <x:c r="H6" s="45" t="n">
        <x:v>15.2</x:v>
      </x:c>
      <x:c r="I6" s="29" t="str">
        <x:v>示範資料</x:v>
      </x:c>
      <x:c r="J6" s="29" t="str">
        <x:v>請以正式量測值取代</x:v>
      </x:c>
    </x:row>
    <x:row r="7">
      <x:c r="A7" s="40" t="n">
        <x:v>2024</x:v>
      </x:c>
      <x:c r="B7" s="40" t="n">
        <x:v>2</x:v>
      </x:c>
      <x:c r="C7" s="43" t="n">
        <x:v>17634</x:v>
      </x:c>
      <x:c r="D7" s="43" t="n">
        <x:v>5885</x:v>
      </x:c>
      <x:c r="E7" s="40" t="n">
        <x:v>12</x:v>
      </x:c>
      <x:c r="F7" s="40" t="n">
        <x:v>653</x:v>
      </x:c>
      <x:c r="G7" s="40" t="n">
        <x:v>29</x:v>
      </x:c>
      <x:c r="H7" s="46" t="n">
        <x:v>15.6</x:v>
      </x:c>
      <x:c r="I7" s="37" t="str">
        <x:v>示範資料</x:v>
      </x:c>
      <x:c r="J7" s="37" t="str"/>
    </x:row>
    <x:row r="8">
      <x:c r="A8" s="40" t="n">
        <x:v>2024</x:v>
      </x:c>
      <x:c r="B8" s="40" t="n">
        <x:v>3</x:v>
      </x:c>
      <x:c r="C8" s="43" t="n">
        <x:v>45606</x:v>
      </x:c>
      <x:c r="D8" s="43" t="n">
        <x:v>15274</x:v>
      </x:c>
      <x:c r="E8" s="40" t="n">
        <x:v>31</x:v>
      </x:c>
      <x:c r="F8" s="40" t="n">
        <x:v>653</x:v>
      </x:c>
      <x:c r="G8" s="40" t="n">
        <x:v>31</x:v>
      </x:c>
      <x:c r="H8" s="46" t="n">
        <x:v>17.5</x:v>
      </x:c>
      <x:c r="I8" s="37" t="str">
        <x:v>示範資料</x:v>
      </x:c>
      <x:c r="J8" s="37" t="str"/>
    </x:row>
    <x:row r="9">
      <x:c r="A9" s="40" t="n">
        <x:v>2024</x:v>
      </x:c>
      <x:c r="B9" s="40" t="n">
        <x:v>4</x:v>
      </x:c>
      <x:c r="C9" s="43" t="n">
        <x:v>42192</x:v>
      </x:c>
      <x:c r="D9" s="43" t="n">
        <x:v>9843</x:v>
      </x:c>
      <x:c r="E9" s="40" t="n">
        <x:v>30</x:v>
      </x:c>
      <x:c r="F9" s="40" t="n">
        <x:v>653</x:v>
      </x:c>
      <x:c r="G9" s="40" t="n">
        <x:v>30</x:v>
      </x:c>
      <x:c r="H9" s="46" t="n">
        <x:v>21.2</x:v>
      </x:c>
      <x:c r="I9" s="37" t="str">
        <x:v>示範資料</x:v>
      </x:c>
      <x:c r="J9" s="37" t="str"/>
    </x:row>
    <x:row r="10">
      <x:c r="A10" s="40" t="n">
        <x:v>2024</x:v>
      </x:c>
      <x:c r="B10" s="40" t="n">
        <x:v>5</x:v>
      </x:c>
      <x:c r="C10" s="43" t="n">
        <x:v>50989</x:v>
      </x:c>
      <x:c r="D10" s="43" t="n">
        <x:v>11635</x:v>
      </x:c>
      <x:c r="E10" s="40" t="n">
        <x:v>31</x:v>
      </x:c>
      <x:c r="F10" s="40" t="n">
        <x:v>653</x:v>
      </x:c>
      <x:c r="G10" s="40" t="n">
        <x:v>31</x:v>
      </x:c>
      <x:c r="H10" s="46" t="n">
        <x:v>24.1</x:v>
      </x:c>
      <x:c r="I10" s="37" t="str">
        <x:v>示範資料</x:v>
      </x:c>
      <x:c r="J10" s="37" t="str"/>
    </x:row>
    <x:row r="11">
      <x:c r="A11" s="40" t="n">
        <x:v>2024</x:v>
      </x:c>
      <x:c r="B11" s="40" t="n">
        <x:v>6</x:v>
      </x:c>
      <x:c r="C11" s="43" t="n">
        <x:v>41913</x:v>
      </x:c>
      <x:c r="D11" s="43" t="n">
        <x:v>7142</x:v>
      </x:c>
      <x:c r="E11" s="40" t="n">
        <x:v>23</x:v>
      </x:c>
      <x:c r="F11" s="40" t="n">
        <x:v>653</x:v>
      </x:c>
      <x:c r="G11" s="40" t="n">
        <x:v>30</x:v>
      </x:c>
      <x:c r="H11" s="46" t="n">
        <x:v>27.2</x:v>
      </x:c>
      <x:c r="I11" s="37" t="str">
        <x:v>示範資料</x:v>
      </x:c>
      <x:c r="J11" s="37" t="str"/>
    </x:row>
    <x:row r="12">
      <x:c r="A12" s="40" t="n">
        <x:v>2024</x:v>
      </x:c>
      <x:c r="B12" s="40" t="n">
        <x:v>7</x:v>
      </x:c>
      <x:c r="C12" s="43" t="n">
        <x:v>4682</x:v>
      </x:c>
      <x:c r="D12" s="43" t="n">
        <x:v>1123</x:v>
      </x:c>
      <x:c r="E12" s="40" t="n">
        <x:v>0</x:v>
      </x:c>
      <x:c r="F12" s="40" t="n">
        <x:v>0</x:v>
      </x:c>
      <x:c r="G12" s="40" t="n">
        <x:v>31</x:v>
      </x:c>
      <x:c r="H12" s="46" t="n">
        <x:v>28.9</x:v>
      </x:c>
      <x:c r="I12" s="37" t="str">
        <x:v>示範資料</x:v>
      </x:c>
      <x:c r="J12" s="37" t="str">
        <x:v>暑假無住宿</x:v>
      </x:c>
    </x:row>
    <x:row r="13">
      <x:c r="A13" s="40" t="n">
        <x:v>2024</x:v>
      </x:c>
      <x:c r="B13" s="40" t="n">
        <x:v>8</x:v>
      </x:c>
      <x:c r="C13" s="43" t="n">
        <x:v>5681</x:v>
      </x:c>
      <x:c r="D13" s="43" t="n">
        <x:v>1084</x:v>
      </x:c>
      <x:c r="E13" s="40" t="n">
        <x:v>0</x:v>
      </x:c>
      <x:c r="F13" s="40" t="n">
        <x:v>0</x:v>
      </x:c>
      <x:c r="G13" s="40" t="n">
        <x:v>31</x:v>
      </x:c>
      <x:c r="H13" s="46" t="n">
        <x:v>28.7</x:v>
      </x:c>
      <x:c r="I13" s="37" t="str">
        <x:v>示範資料</x:v>
      </x:c>
      <x:c r="J13" s="37" t="str">
        <x:v>暑假無住宿</x:v>
      </x:c>
    </x:row>
    <x:row r="14">
      <x:c r="A14" s="40" t="n">
        <x:v>2024</x:v>
      </x:c>
      <x:c r="B14" s="40" t="n">
        <x:v>9</x:v>
      </x:c>
      <x:c r="C14" s="43" t="n">
        <x:v>48200</x:v>
      </x:c>
      <x:c r="D14" s="43" t="n">
        <x:v>12650</x:v>
      </x:c>
      <x:c r="E14" s="40" t="n">
        <x:v>24</x:v>
      </x:c>
      <x:c r="F14" s="40" t="n">
        <x:v>653</x:v>
      </x:c>
      <x:c r="G14" s="40" t="n">
        <x:v>30</x:v>
      </x:c>
      <x:c r="H14" s="46" t="n">
        <x:v>27.1</x:v>
      </x:c>
      <x:c r="I14" s="37" t="str">
        <x:v>示範資料</x:v>
      </x:c>
      <x:c r="J14" s="37" t="str"/>
    </x:row>
    <x:row r="15">
      <x:c r="A15" s="40" t="n">
        <x:v>2024</x:v>
      </x:c>
      <x:c r="B15" s="40" t="n">
        <x:v>10</x:v>
      </x:c>
      <x:c r="C15" s="43" t="n">
        <x:v>46000</x:v>
      </x:c>
      <x:c r="D15" s="43" t="n">
        <x:v>11500</x:v>
      </x:c>
      <x:c r="E15" s="40" t="n">
        <x:v>31</x:v>
      </x:c>
      <x:c r="F15" s="40" t="n">
        <x:v>653</x:v>
      </x:c>
      <x:c r="G15" s="40" t="n">
        <x:v>31</x:v>
      </x:c>
      <x:c r="H15" s="46" t="n">
        <x:v>24.1</x:v>
      </x:c>
      <x:c r="I15" s="37" t="str">
        <x:v>示範資料</x:v>
      </x:c>
      <x:c r="J15" s="37" t="str"/>
    </x:row>
    <x:row r="16">
      <x:c r="A16" s="40" t="n">
        <x:v>2024</x:v>
      </x:c>
      <x:c r="B16" s="40" t="n">
        <x:v>11</x:v>
      </x:c>
      <x:c r="C16" s="43" t="n">
        <x:v>44000</x:v>
      </x:c>
      <x:c r="D16" s="43" t="n">
        <x:v>11000</x:v>
      </x:c>
      <x:c r="E16" s="40" t="n">
        <x:v>30</x:v>
      </x:c>
      <x:c r="F16" s="40" t="n">
        <x:v>653</x:v>
      </x:c>
      <x:c r="G16" s="40" t="n">
        <x:v>30</x:v>
      </x:c>
      <x:c r="H16" s="46" t="n">
        <x:v>20.6</x:v>
      </x:c>
      <x:c r="I16" s="37" t="str">
        <x:v>示範資料</x:v>
      </x:c>
      <x:c r="J16" s="37" t="str"/>
    </x:row>
    <x:row r="17">
      <x:c r="A17" s="40" t="n">
        <x:v>2024</x:v>
      </x:c>
      <x:c r="B17" s="40" t="n">
        <x:v>12</x:v>
      </x:c>
      <x:c r="C17" s="43" t="n">
        <x:v>49000</x:v>
      </x:c>
      <x:c r="D17" s="43" t="n">
        <x:v>12000</x:v>
      </x:c>
      <x:c r="E17" s="40" t="n">
        <x:v>31</x:v>
      </x:c>
      <x:c r="F17" s="40" t="n">
        <x:v>653</x:v>
      </x:c>
      <x:c r="G17" s="40" t="n">
        <x:v>31</x:v>
      </x:c>
      <x:c r="H17" s="46" t="n">
        <x:v>16.9</x:v>
      </x:c>
      <x:c r="I17" s="37" t="str">
        <x:v>示範資料</x:v>
      </x:c>
      <x:c r="J17" s="37" t="str"/>
    </x:row>
    <x:row r="18">
      <x:c r="A18" s="40"/>
      <x:c r="B18" s="40"/>
      <x:c r="C18" s="43"/>
      <x:c r="D18" s="43"/>
      <x:c r="E18" s="40"/>
      <x:c r="F18" s="40"/>
      <x:c r="G18" s="40"/>
      <x:c r="H18" s="46"/>
      <x:c r="I18" s="37"/>
      <x:c r="J18" s="37"/>
    </x:row>
    <x:row r="19">
      <x:c r="A19" s="40"/>
      <x:c r="B19" s="40"/>
      <x:c r="C19" s="43"/>
      <x:c r="D19" s="43"/>
      <x:c r="E19" s="40"/>
      <x:c r="F19" s="40"/>
      <x:c r="G19" s="40"/>
      <x:c r="H19" s="46"/>
      <x:c r="I19" s="37"/>
      <x:c r="J19" s="37"/>
    </x:row>
    <x:row r="20">
      <x:c r="A20" s="40"/>
      <x:c r="B20" s="40"/>
      <x:c r="C20" s="43"/>
      <x:c r="D20" s="43"/>
      <x:c r="E20" s="40"/>
      <x:c r="F20" s="40"/>
      <x:c r="G20" s="40"/>
      <x:c r="H20" s="46"/>
      <x:c r="I20" s="37"/>
      <x:c r="J20" s="37"/>
    </x:row>
    <x:row r="21">
      <x:c r="A21" s="40"/>
      <x:c r="B21" s="40"/>
      <x:c r="C21" s="43"/>
      <x:c r="D21" s="43"/>
      <x:c r="E21" s="40"/>
      <x:c r="F21" s="40"/>
      <x:c r="G21" s="40"/>
      <x:c r="H21" s="46"/>
      <x:c r="I21" s="37"/>
      <x:c r="J21" s="37"/>
    </x:row>
    <x:row r="22">
      <x:c r="A22" s="40"/>
      <x:c r="B22" s="40"/>
      <x:c r="C22" s="43"/>
      <x:c r="D22" s="43"/>
      <x:c r="E22" s="40"/>
      <x:c r="F22" s="40"/>
      <x:c r="G22" s="40"/>
      <x:c r="H22" s="46"/>
      <x:c r="I22" s="37"/>
      <x:c r="J22" s="37"/>
    </x:row>
    <x:row r="23">
      <x:c r="A23" s="40"/>
      <x:c r="B23" s="40"/>
      <x:c r="C23" s="43"/>
      <x:c r="D23" s="43"/>
      <x:c r="E23" s="40"/>
      <x:c r="F23" s="40"/>
      <x:c r="G23" s="40"/>
      <x:c r="H23" s="46"/>
      <x:c r="I23" s="37"/>
      <x:c r="J23" s="37"/>
    </x:row>
    <x:row r="24">
      <x:c r="A24" s="40"/>
      <x:c r="B24" s="40"/>
      <x:c r="C24" s="43"/>
      <x:c r="D24" s="43"/>
      <x:c r="E24" s="40"/>
      <x:c r="F24" s="40"/>
      <x:c r="G24" s="40"/>
      <x:c r="H24" s="46"/>
      <x:c r="I24" s="37"/>
      <x:c r="J24" s="37"/>
    </x:row>
    <x:row r="25">
      <x:c r="A25" s="40"/>
      <x:c r="B25" s="40"/>
      <x:c r="C25" s="43"/>
      <x:c r="D25" s="43"/>
      <x:c r="E25" s="40"/>
      <x:c r="F25" s="40"/>
      <x:c r="G25" s="40"/>
      <x:c r="H25" s="46"/>
      <x:c r="I25" s="37"/>
      <x:c r="J25" s="37"/>
    </x:row>
    <x:row r="26">
      <x:c r="A26" s="40"/>
      <x:c r="B26" s="40"/>
      <x:c r="C26" s="43"/>
      <x:c r="D26" s="43"/>
      <x:c r="E26" s="40"/>
      <x:c r="F26" s="40"/>
      <x:c r="G26" s="40"/>
      <x:c r="H26" s="46"/>
      <x:c r="I26" s="37"/>
      <x:c r="J26" s="37"/>
    </x:row>
    <x:row r="27">
      <x:c r="A27" s="40"/>
      <x:c r="B27" s="40"/>
      <x:c r="C27" s="43"/>
      <x:c r="D27" s="43"/>
      <x:c r="E27" s="40"/>
      <x:c r="F27" s="40"/>
      <x:c r="G27" s="40"/>
      <x:c r="H27" s="46"/>
      <x:c r="I27" s="37"/>
      <x:c r="J27" s="37"/>
    </x:row>
    <x:row r="28">
      <x:c r="A28" s="40"/>
      <x:c r="B28" s="40"/>
      <x:c r="C28" s="43"/>
      <x:c r="D28" s="43"/>
      <x:c r="E28" s="40"/>
      <x:c r="F28" s="40"/>
      <x:c r="G28" s="40"/>
      <x:c r="H28" s="46"/>
      <x:c r="I28" s="37"/>
      <x:c r="J28" s="37"/>
    </x:row>
    <x:row r="29">
      <x:c r="A29" s="40"/>
      <x:c r="B29" s="40"/>
      <x:c r="C29" s="43"/>
      <x:c r="D29" s="43"/>
      <x:c r="E29" s="40"/>
      <x:c r="F29" s="40"/>
      <x:c r="G29" s="40"/>
      <x:c r="H29" s="46"/>
      <x:c r="I29" s="37"/>
      <x:c r="J29" s="37"/>
    </x:row>
    <x:row r="30">
      <x:c r="A30" s="40"/>
      <x:c r="B30" s="40"/>
      <x:c r="C30" s="43"/>
      <x:c r="D30" s="43"/>
      <x:c r="E30" s="40"/>
      <x:c r="F30" s="40"/>
      <x:c r="G30" s="40"/>
      <x:c r="H30" s="46"/>
      <x:c r="I30" s="37"/>
      <x:c r="J30" s="37"/>
    </x:row>
    <x:row r="31">
      <x:c r="A31" s="40"/>
      <x:c r="B31" s="40"/>
      <x:c r="C31" s="43"/>
      <x:c r="D31" s="43"/>
      <x:c r="E31" s="40"/>
      <x:c r="F31" s="40"/>
      <x:c r="G31" s="40"/>
      <x:c r="H31" s="46"/>
      <x:c r="I31" s="37"/>
      <x:c r="J31" s="37"/>
    </x:row>
    <x:row r="32">
      <x:c r="A32" s="40"/>
      <x:c r="B32" s="40"/>
      <x:c r="C32" s="43"/>
      <x:c r="D32" s="43"/>
      <x:c r="E32" s="40"/>
      <x:c r="F32" s="40"/>
      <x:c r="G32" s="40"/>
      <x:c r="H32" s="46"/>
      <x:c r="I32" s="37"/>
      <x:c r="J32" s="37"/>
    </x:row>
    <x:row r="33">
      <x:c r="A33" s="40"/>
      <x:c r="B33" s="40"/>
      <x:c r="C33" s="43"/>
      <x:c r="D33" s="43"/>
      <x:c r="E33" s="40"/>
      <x:c r="F33" s="40"/>
      <x:c r="G33" s="40"/>
      <x:c r="H33" s="46"/>
      <x:c r="I33" s="37"/>
      <x:c r="J33" s="37"/>
    </x:row>
    <x:row r="34">
      <x:c r="A34" s="40"/>
      <x:c r="B34" s="40"/>
      <x:c r="C34" s="43"/>
      <x:c r="D34" s="43"/>
      <x:c r="E34" s="40"/>
      <x:c r="F34" s="40"/>
      <x:c r="G34" s="40"/>
      <x:c r="H34" s="46"/>
      <x:c r="I34" s="37"/>
      <x:c r="J34" s="37"/>
    </x:row>
    <x:row r="35">
      <x:c r="A35" s="40"/>
      <x:c r="B35" s="40"/>
      <x:c r="C35" s="43"/>
      <x:c r="D35" s="43"/>
      <x:c r="E35" s="40"/>
      <x:c r="F35" s="40"/>
      <x:c r="G35" s="40"/>
      <x:c r="H35" s="46"/>
      <x:c r="I35" s="37"/>
      <x:c r="J35" s="37"/>
    </x:row>
    <x:row r="36">
      <x:c r="A36" s="40"/>
      <x:c r="B36" s="40"/>
      <x:c r="C36" s="43"/>
      <x:c r="D36" s="43"/>
      <x:c r="E36" s="40"/>
      <x:c r="F36" s="40"/>
      <x:c r="G36" s="40"/>
      <x:c r="H36" s="46"/>
      <x:c r="I36" s="37"/>
      <x:c r="J36" s="37"/>
    </x:row>
    <x:row r="37">
      <x:c r="A37" s="40"/>
      <x:c r="B37" s="40"/>
      <x:c r="C37" s="43"/>
      <x:c r="D37" s="43"/>
      <x:c r="E37" s="40"/>
      <x:c r="F37" s="40"/>
      <x:c r="G37" s="40"/>
      <x:c r="H37" s="46"/>
      <x:c r="I37" s="37"/>
      <x:c r="J37" s="37"/>
    </x:row>
    <x:row r="38">
      <x:c r="A38" s="40"/>
      <x:c r="B38" s="40"/>
      <x:c r="C38" s="43"/>
      <x:c r="D38" s="43"/>
      <x:c r="E38" s="40"/>
      <x:c r="F38" s="40"/>
      <x:c r="G38" s="40"/>
      <x:c r="H38" s="46"/>
      <x:c r="I38" s="37"/>
      <x:c r="J38" s="37"/>
    </x:row>
    <x:row r="39">
      <x:c r="A39" s="40"/>
      <x:c r="B39" s="40"/>
      <x:c r="C39" s="43"/>
      <x:c r="D39" s="43"/>
      <x:c r="E39" s="40"/>
      <x:c r="F39" s="40"/>
      <x:c r="G39" s="40"/>
      <x:c r="H39" s="46"/>
      <x:c r="I39" s="37"/>
      <x:c r="J39" s="37"/>
    </x:row>
    <x:row r="40">
      <x:c r="A40" s="40"/>
      <x:c r="B40" s="40"/>
      <x:c r="C40" s="43"/>
      <x:c r="D40" s="43"/>
      <x:c r="E40" s="40"/>
      <x:c r="F40" s="40"/>
      <x:c r="G40" s="40"/>
      <x:c r="H40" s="46"/>
      <x:c r="I40" s="37"/>
      <x:c r="J40" s="37"/>
    </x:row>
    <x:row r="41">
      <x:c r="A41" s="41"/>
      <x:c r="B41" s="41"/>
      <x:c r="C41" s="44"/>
      <x:c r="D41" s="44"/>
      <x:c r="E41" s="41"/>
      <x:c r="F41" s="41"/>
      <x:c r="G41" s="41"/>
      <x:c r="H41" s="47"/>
      <x:c r="I41" s="38"/>
      <x:c r="J41" s="38"/>
    </x:row>
  </x:sheetData>
  <x:mergeCells>
    <x:mergeCell ref="A1:J1"/>
    <x:mergeCell ref="A2:J2"/>
  </x:mergeCells>
  <x:dataValidations count="4">
    <x:dataValidation type="whole" operator="between" sqref="A6:A41">
      <x:formula1>2020</x:formula1>
      <x:formula2>2035</x:formula2>
    </x:dataValidation>
    <x:dataValidation type="whole" operator="between" sqref="B6:B41">
      <x:formula1>1</x:formula1>
      <x:formula2>12</x:formula2>
    </x:dataValidation>
    <x:dataValidation type="decimal" operator="greaterThanOrEqual" sqref="C6:G41">
      <x:formula1>0</x:formula1>
    </x:dataValidation>
    <x:dataValidation type="decimal" operator="between" sqref="H6:H41">
      <x:formula1>-10</x:formula1>
      <x:formula2>45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746b335cb1e48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24" hidden="0" customWidth="1"/>
    <x:col min="5" max="5" width="15" hidden="0" customWidth="1"/>
    <x:col min="6" max="6" width="9" hidden="0" customWidth="1"/>
    <x:col min="7" max="7" width="14" hidden="0" customWidth="1"/>
    <x:col min="8" max="8" width="16" hidden="0" customWidth="1"/>
    <x:col min="9" max="9" width="1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6" hidden="0" customWidth="1"/>
    <x:col min="16" max="16" width="18" hidden="0" customWidth="1"/>
    <x:col min="17" max="17" width="20" hidden="0" customWidth="1"/>
    <x:col min="18" max="18" width="32" hidden="0" customWidth="1"/>
  </x:cols>
  <x:sheetData>
    <x:row r="1" ht="32" customHeight="1">
      <x:c r="A1" s="3" t="str">
        <x:v>冷氣設備群組清冊與分析輸入</x:v>
      </x:c>
      <x:c r="B1" s="3" t="str">
        <x:v>冷氣設備群組清冊與分析輸入</x:v>
      </x:c>
      <x:c r="C1" s="3" t="str">
        <x:v>冷氣設備群組清冊與分析輸入</x:v>
      </x:c>
      <x:c r="D1" s="3" t="str">
        <x:v>冷氣設備群組清冊與分析輸入</x:v>
      </x:c>
      <x:c r="E1" s="3" t="str">
        <x:v>冷氣設備群組清冊與分析輸入</x:v>
      </x:c>
      <x:c r="F1" s="3" t="str">
        <x:v>冷氣設備群組清冊與分析輸入</x:v>
      </x:c>
      <x:c r="G1" s="3" t="str">
        <x:v>冷氣設備群組清冊與分析輸入</x:v>
      </x:c>
      <x:c r="H1" s="3" t="str">
        <x:v>冷氣設備群組清冊與分析輸入</x:v>
      </x:c>
      <x:c r="I1" s="3" t="str">
        <x:v>冷氣設備群組清冊與分析輸入</x:v>
      </x:c>
      <x:c r="J1" s="3" t="str">
        <x:v>冷氣設備群組清冊與分析輸入</x:v>
      </x:c>
      <x:c r="K1" s="3" t="str">
        <x:v>冷氣設備群組清冊與分析輸入</x:v>
      </x:c>
      <x:c r="L1" s="3" t="str">
        <x:v>冷氣設備群組清冊與分析輸入</x:v>
      </x:c>
      <x:c r="M1" s="3" t="str">
        <x:v>冷氣設備群組清冊與分析輸入</x:v>
      </x:c>
      <x:c r="N1" s="3" t="str">
        <x:v>冷氣設備群組清冊與分析輸入</x:v>
      </x:c>
      <x:c r="O1" s="3" t="str">
        <x:v>冷氣設備群組清冊與分析輸入</x:v>
      </x:c>
      <x:c r="P1" s="3" t="str">
        <x:v>冷氣設備群組清冊與分析輸入</x:v>
      </x:c>
      <x:c r="Q1" s="3" t="str">
        <x:v>冷氣設備群組清冊與分析輸入</x:v>
      </x:c>
      <x:c r="R1" s="3" t="str">
        <x:v>冷氣設備群組清冊與分析輸入</x:v>
      </x:c>
    </x:row>
    <x:row r="2" ht="34" customHeight="1">
      <x:c r="A2" s="7" t="str">
        <x:v>同型號、同位置與相近機齡的設備可合併為群組；使用率請輸入 0%–100%。這些欄位可直接上傳至網站批次分析。</x:v>
      </x:c>
      <x:c r="B2" s="7" t="str">
        <x:v>同型號、同位置與相近機齡的設備可合併為群組；使用率請輸入 0%–100%。這些欄位可直接上傳至網站批次分析。</x:v>
      </x:c>
      <x:c r="C2" s="7" t="str">
        <x:v>同型號、同位置與相近機齡的設備可合併為群組；使用率請輸入 0%–100%。這些欄位可直接上傳至網站批次分析。</x:v>
      </x:c>
      <x:c r="D2" s="7" t="str">
        <x:v>同型號、同位置與相近機齡的設備可合併為群組；使用率請輸入 0%–100%。這些欄位可直接上傳至網站批次分析。</x:v>
      </x:c>
      <x:c r="E2" s="7" t="str">
        <x:v>同型號、同位置與相近機齡的設備可合併為群組；使用率請輸入 0%–100%。這些欄位可直接上傳至網站批次分析。</x:v>
      </x:c>
      <x:c r="F2" s="7" t="str">
        <x:v>同型號、同位置與相近機齡的設備可合併為群組；使用率請輸入 0%–100%。這些欄位可直接上傳至網站批次分析。</x:v>
      </x:c>
      <x:c r="G2" s="7" t="str">
        <x:v>同型號、同位置與相近機齡的設備可合併為群組；使用率請輸入 0%–100%。這些欄位可直接上傳至網站批次分析。</x:v>
      </x:c>
      <x:c r="H2" s="7" t="str">
        <x:v>同型號、同位置與相近機齡的設備可合併為群組；使用率請輸入 0%–100%。這些欄位可直接上傳至網站批次分析。</x:v>
      </x:c>
      <x:c r="I2" s="7" t="str">
        <x:v>同型號、同位置與相近機齡的設備可合併為群組；使用率請輸入 0%–100%。這些欄位可直接上傳至網站批次分析。</x:v>
      </x:c>
      <x:c r="J2" s="7" t="str">
        <x:v>同型號、同位置與相近機齡的設備可合併為群組；使用率請輸入 0%–100%。這些欄位可直接上傳至網站批次分析。</x:v>
      </x:c>
      <x:c r="K2" s="7" t="str">
        <x:v>同型號、同位置與相近機齡的設備可合併為群組；使用率請輸入 0%–100%。這些欄位可直接上傳至網站批次分析。</x:v>
      </x:c>
      <x:c r="L2" s="7" t="str">
        <x:v>同型號、同位置與相近機齡的設備可合併為群組；使用率請輸入 0%–100%。這些欄位可直接上傳至網站批次分析。</x:v>
      </x:c>
      <x:c r="M2" s="7" t="str">
        <x:v>同型號、同位置與相近機齡的設備可合併為群組；使用率請輸入 0%–100%。這些欄位可直接上傳至網站批次分析。</x:v>
      </x:c>
      <x:c r="N2" s="7" t="str">
        <x:v>同型號、同位置與相近機齡的設備可合併為群組；使用率請輸入 0%–100%。這些欄位可直接上傳至網站批次分析。</x:v>
      </x:c>
      <x:c r="O2" s="7" t="str">
        <x:v>同型號、同位置與相近機齡的設備可合併為群組；使用率請輸入 0%–100%。這些欄位可直接上傳至網站批次分析。</x:v>
      </x:c>
      <x:c r="P2" s="7" t="str">
        <x:v>同型號、同位置與相近機齡的設備可合併為群組；使用率請輸入 0%–100%。這些欄位可直接上傳至網站批次分析。</x:v>
      </x:c>
      <x:c r="Q2" s="7" t="str">
        <x:v>同型號、同位置與相近機齡的設備可合併為群組；使用率請輸入 0%–100%。這些欄位可直接上傳至網站批次分析。</x:v>
      </x:c>
      <x:c r="R2" s="7" t="str">
        <x:v>同型號、同位置與相近機齡的設備可合併為群組；使用率請輸入 0%–100%。這些欄位可直接上傳至網站批次分析。</x:v>
      </x:c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  <x:c r="P3" s="75"/>
      <x:c r="Q3" s="75"/>
      <x:c r="R3" s="75"/>
    </x:row>
    <x:row r="4">
      <x:c r="A4" s="75"/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</x:row>
    <x:row r="5" ht="36" customHeight="1">
      <x:c r="A5" s="19" t="str">
        <x:v>設備群組_ID</x:v>
      </x:c>
      <x:c r="B5" s="20" t="str">
        <x:v>位置</x:v>
      </x:c>
      <x:c r="C5" s="20" t="str">
        <x:v>冷氣機型</x:v>
      </x:c>
      <x:c r="D5" s="20" t="str">
        <x:v>廠牌型號</x:v>
      </x:c>
      <x:c r="E5" s="20" t="str">
        <x:v>額定功率_kW</x:v>
      </x:c>
      <x:c r="F5" s="20" t="str">
        <x:v>台數</x:v>
      </x:c>
      <x:c r="G5" s="20" t="str">
        <x:v>平均機齡_年</x:v>
      </x:c>
      <x:c r="H5" s="20" t="str">
        <x:v>日平均溫度_C</x:v>
      </x:c>
      <x:c r="I5" s="20" t="str">
        <x:v>設定溫度_C</x:v>
      </x:c>
      <x:c r="J5" s="20" t="str">
        <x:v>每月運轉天數</x:v>
      </x:c>
      <x:c r="K5" s="20" t="str">
        <x:v>使用率_00_06</x:v>
      </x:c>
      <x:c r="L5" s="20" t="str">
        <x:v>使用率_06_12</x:v>
      </x:c>
      <x:c r="M5" s="20" t="str">
        <x:v>使用率_12_18</x:v>
      </x:c>
      <x:c r="N5" s="20" t="str">
        <x:v>使用率_18_24</x:v>
      </x:c>
      <x:c r="O5" s="20" t="str">
        <x:v>距上次保養_月</x:v>
      </x:c>
      <x:c r="P5" s="20" t="str">
        <x:v>近兩年故障次數</x:v>
      </x:c>
      <x:c r="Q5" s="20" t="str">
        <x:v>資料來源</x:v>
      </x:c>
      <x:c r="R5" s="21" t="str">
        <x:v>備註</x:v>
      </x:c>
    </x:row>
    <x:row r="6">
      <x:c r="A6" s="29" t="str">
        <x:v>AC-A-01</x:v>
      </x:c>
      <x:c r="B6" s="29" t="str">
        <x:v>A棟寢室</x:v>
      </x:c>
      <x:c r="C6" s="29" t="str">
        <x:v>變頻一級能效</x:v>
      </x:c>
      <x:c r="D6" s="29" t="str">
        <x:v>示範型號 INV-45</x:v>
      </x:c>
      <x:c r="E6" s="48" t="n">
        <x:v>1.45</x:v>
      </x:c>
      <x:c r="F6" s="45" t="n">
        <x:v>50</x:v>
      </x:c>
      <x:c r="G6" s="45" t="n">
        <x:v>6</x:v>
      </x:c>
      <x:c r="H6" s="45" t="n">
        <x:v>25</x:v>
      </x:c>
      <x:c r="I6" s="45" t="n">
        <x:v>26</x:v>
      </x:c>
      <x:c r="J6" s="39" t="n">
        <x:v>30</x:v>
      </x:c>
      <x:c r="K6" s="51" t="n">
        <x:v>0.7</x:v>
      </x:c>
      <x:c r="L6" s="51" t="n">
        <x:v>0.2</x:v>
      </x:c>
      <x:c r="M6" s="51" t="n">
        <x:v>0.35</x:v>
      </x:c>
      <x:c r="N6" s="51" t="n">
        <x:v>0.85</x:v>
      </x:c>
      <x:c r="O6" s="39" t="n">
        <x:v>8</x:v>
      </x:c>
      <x:c r="P6" s="39" t="n">
        <x:v>0</x:v>
      </x:c>
      <x:c r="Q6" s="29" t="str">
        <x:v>示範資料</x:v>
      </x:c>
      <x:c r="R6" s="29" t="str">
        <x:v>請依銘牌及維修紀錄更新</x:v>
      </x:c>
    </x:row>
    <x:row r="7">
      <x:c r="A7" s="37" t="str">
        <x:v>AC-B-01</x:v>
      </x:c>
      <x:c r="B7" s="37" t="str">
        <x:v>B棟公共區</x:v>
      </x:c>
      <x:c r="C7" s="37" t="str">
        <x:v>分離式定頻</x:v>
      </x:c>
      <x:c r="D7" s="37" t="str">
        <x:v>示範型號 FIX-60</x:v>
      </x:c>
      <x:c r="E7" s="49" t="n">
        <x:v>1.9</x:v>
      </x:c>
      <x:c r="F7" s="46" t="n">
        <x:v>12</x:v>
      </x:c>
      <x:c r="G7" s="46" t="n">
        <x:v>10</x:v>
      </x:c>
      <x:c r="H7" s="46" t="n">
        <x:v>25</x:v>
      </x:c>
      <x:c r="I7" s="46" t="n">
        <x:v>26</x:v>
      </x:c>
      <x:c r="J7" s="40" t="n">
        <x:v>30</x:v>
      </x:c>
      <x:c r="K7" s="52" t="n">
        <x:v>0.3</x:v>
      </x:c>
      <x:c r="L7" s="52" t="n">
        <x:v>0.55</x:v>
      </x:c>
      <x:c r="M7" s="52" t="n">
        <x:v>0.75</x:v>
      </x:c>
      <x:c r="N7" s="52" t="n">
        <x:v>0.65</x:v>
      </x:c>
      <x:c r="O7" s="40" t="n">
        <x:v>14</x:v>
      </x:c>
      <x:c r="P7" s="40" t="n">
        <x:v>1</x:v>
      </x:c>
      <x:c r="Q7" s="37" t="str">
        <x:v>示範資料</x:v>
      </x:c>
      <x:c r="R7" s="37" t="str"/>
    </x:row>
    <x:row r="8">
      <x:c r="A8" s="37" t="str">
        <x:v>AC-C-01</x:v>
      </x:c>
      <x:c r="B8" s="37" t="str">
        <x:v>C棟舊寢室</x:v>
      </x:c>
      <x:c r="C8" s="37" t="str">
        <x:v>窗型定頻（舊式）</x:v>
      </x:c>
      <x:c r="D8" s="37" t="str">
        <x:v>示範型號 WIN-28</x:v>
      </x:c>
      <x:c r="E8" s="49" t="n">
        <x:v>2.4</x:v>
      </x:c>
      <x:c r="F8" s="46" t="n">
        <x:v>20</x:v>
      </x:c>
      <x:c r="G8" s="46" t="n">
        <x:v>15</x:v>
      </x:c>
      <x:c r="H8" s="46" t="n">
        <x:v>25</x:v>
      </x:c>
      <x:c r="I8" s="46" t="n">
        <x:v>26</x:v>
      </x:c>
      <x:c r="J8" s="40" t="n">
        <x:v>30</x:v>
      </x:c>
      <x:c r="K8" s="52" t="n">
        <x:v>0.6</x:v>
      </x:c>
      <x:c r="L8" s="52" t="n">
        <x:v>0.15</x:v>
      </x:c>
      <x:c r="M8" s="52" t="n">
        <x:v>0.3</x:v>
      </x:c>
      <x:c r="N8" s="52" t="n">
        <x:v>0.8</x:v>
      </x:c>
      <x:c r="O8" s="40" t="n">
        <x:v>20</x:v>
      </x:c>
      <x:c r="P8" s="40" t="n">
        <x:v>2</x:v>
      </x:c>
      <x:c r="Q8" s="37" t="str">
        <x:v>示範資料</x:v>
      </x:c>
      <x:c r="R8" s="37" t="str">
        <x:v>優先盤點汰換</x:v>
      </x:c>
    </x:row>
    <x:row r="9">
      <x:c r="A9" s="37"/>
      <x:c r="B9" s="37"/>
      <x:c r="C9" s="37"/>
      <x:c r="D9" s="37"/>
      <x:c r="E9" s="49"/>
      <x:c r="F9" s="46"/>
      <x:c r="G9" s="46"/>
      <x:c r="H9" s="46"/>
      <x:c r="I9" s="46"/>
      <x:c r="J9" s="40"/>
      <x:c r="K9" s="52"/>
      <x:c r="L9" s="52"/>
      <x:c r="M9" s="52"/>
      <x:c r="N9" s="52"/>
      <x:c r="O9" s="40"/>
      <x:c r="P9" s="40"/>
      <x:c r="Q9" s="37"/>
      <x:c r="R9" s="37"/>
    </x:row>
    <x:row r="10">
      <x:c r="A10" s="37"/>
      <x:c r="B10" s="37"/>
      <x:c r="C10" s="37"/>
      <x:c r="D10" s="37"/>
      <x:c r="E10" s="49"/>
      <x:c r="F10" s="46"/>
      <x:c r="G10" s="46"/>
      <x:c r="H10" s="46"/>
      <x:c r="I10" s="46"/>
      <x:c r="J10" s="40"/>
      <x:c r="K10" s="52"/>
      <x:c r="L10" s="52"/>
      <x:c r="M10" s="52"/>
      <x:c r="N10" s="52"/>
      <x:c r="O10" s="40"/>
      <x:c r="P10" s="40"/>
      <x:c r="Q10" s="37"/>
      <x:c r="R10" s="37"/>
    </x:row>
    <x:row r="11">
      <x:c r="A11" s="37"/>
      <x:c r="B11" s="37"/>
      <x:c r="C11" s="37"/>
      <x:c r="D11" s="37"/>
      <x:c r="E11" s="49"/>
      <x:c r="F11" s="46"/>
      <x:c r="G11" s="46"/>
      <x:c r="H11" s="46"/>
      <x:c r="I11" s="46"/>
      <x:c r="J11" s="40"/>
      <x:c r="K11" s="52"/>
      <x:c r="L11" s="52"/>
      <x:c r="M11" s="52"/>
      <x:c r="N11" s="52"/>
      <x:c r="O11" s="40"/>
      <x:c r="P11" s="40"/>
      <x:c r="Q11" s="37"/>
      <x:c r="R11" s="37"/>
    </x:row>
    <x:row r="12">
      <x:c r="A12" s="37"/>
      <x:c r="B12" s="37"/>
      <x:c r="C12" s="37"/>
      <x:c r="D12" s="37"/>
      <x:c r="E12" s="49"/>
      <x:c r="F12" s="46"/>
      <x:c r="G12" s="46"/>
      <x:c r="H12" s="46"/>
      <x:c r="I12" s="46"/>
      <x:c r="J12" s="40"/>
      <x:c r="K12" s="52"/>
      <x:c r="L12" s="52"/>
      <x:c r="M12" s="52"/>
      <x:c r="N12" s="52"/>
      <x:c r="O12" s="40"/>
      <x:c r="P12" s="40"/>
      <x:c r="Q12" s="37"/>
      <x:c r="R12" s="37"/>
    </x:row>
    <x:row r="13">
      <x:c r="A13" s="37"/>
      <x:c r="B13" s="37"/>
      <x:c r="C13" s="37"/>
      <x:c r="D13" s="37"/>
      <x:c r="E13" s="49"/>
      <x:c r="F13" s="46"/>
      <x:c r="G13" s="46"/>
      <x:c r="H13" s="46"/>
      <x:c r="I13" s="46"/>
      <x:c r="J13" s="40"/>
      <x:c r="K13" s="52"/>
      <x:c r="L13" s="52"/>
      <x:c r="M13" s="52"/>
      <x:c r="N13" s="52"/>
      <x:c r="O13" s="40"/>
      <x:c r="P13" s="40"/>
      <x:c r="Q13" s="37"/>
      <x:c r="R13" s="37"/>
    </x:row>
    <x:row r="14">
      <x:c r="A14" s="37"/>
      <x:c r="B14" s="37"/>
      <x:c r="C14" s="37"/>
      <x:c r="D14" s="37"/>
      <x:c r="E14" s="49"/>
      <x:c r="F14" s="46"/>
      <x:c r="G14" s="46"/>
      <x:c r="H14" s="46"/>
      <x:c r="I14" s="46"/>
      <x:c r="J14" s="40"/>
      <x:c r="K14" s="52"/>
      <x:c r="L14" s="52"/>
      <x:c r="M14" s="52"/>
      <x:c r="N14" s="52"/>
      <x:c r="O14" s="40"/>
      <x:c r="P14" s="40"/>
      <x:c r="Q14" s="37"/>
      <x:c r="R14" s="37"/>
    </x:row>
    <x:row r="15">
      <x:c r="A15" s="37"/>
      <x:c r="B15" s="37"/>
      <x:c r="C15" s="37"/>
      <x:c r="D15" s="37"/>
      <x:c r="E15" s="49"/>
      <x:c r="F15" s="46"/>
      <x:c r="G15" s="46"/>
      <x:c r="H15" s="46"/>
      <x:c r="I15" s="46"/>
      <x:c r="J15" s="40"/>
      <x:c r="K15" s="52"/>
      <x:c r="L15" s="52"/>
      <x:c r="M15" s="52"/>
      <x:c r="N15" s="52"/>
      <x:c r="O15" s="40"/>
      <x:c r="P15" s="40"/>
      <x:c r="Q15" s="37"/>
      <x:c r="R15" s="37"/>
    </x:row>
    <x:row r="16">
      <x:c r="A16" s="37"/>
      <x:c r="B16" s="37"/>
      <x:c r="C16" s="37"/>
      <x:c r="D16" s="37"/>
      <x:c r="E16" s="49"/>
      <x:c r="F16" s="46"/>
      <x:c r="G16" s="46"/>
      <x:c r="H16" s="46"/>
      <x:c r="I16" s="46"/>
      <x:c r="J16" s="40"/>
      <x:c r="K16" s="52"/>
      <x:c r="L16" s="52"/>
      <x:c r="M16" s="52"/>
      <x:c r="N16" s="52"/>
      <x:c r="O16" s="40"/>
      <x:c r="P16" s="40"/>
      <x:c r="Q16" s="37"/>
      <x:c r="R16" s="37"/>
    </x:row>
    <x:row r="17">
      <x:c r="A17" s="37"/>
      <x:c r="B17" s="37"/>
      <x:c r="C17" s="37"/>
      <x:c r="D17" s="37"/>
      <x:c r="E17" s="49"/>
      <x:c r="F17" s="46"/>
      <x:c r="G17" s="46"/>
      <x:c r="H17" s="46"/>
      <x:c r="I17" s="46"/>
      <x:c r="J17" s="40"/>
      <x:c r="K17" s="52"/>
      <x:c r="L17" s="52"/>
      <x:c r="M17" s="52"/>
      <x:c r="N17" s="52"/>
      <x:c r="O17" s="40"/>
      <x:c r="P17" s="40"/>
      <x:c r="Q17" s="37"/>
      <x:c r="R17" s="37"/>
    </x:row>
    <x:row r="18">
      <x:c r="A18" s="37"/>
      <x:c r="B18" s="37"/>
      <x:c r="C18" s="37"/>
      <x:c r="D18" s="37"/>
      <x:c r="E18" s="49"/>
      <x:c r="F18" s="46"/>
      <x:c r="G18" s="46"/>
      <x:c r="H18" s="46"/>
      <x:c r="I18" s="46"/>
      <x:c r="J18" s="40"/>
      <x:c r="K18" s="52"/>
      <x:c r="L18" s="52"/>
      <x:c r="M18" s="52"/>
      <x:c r="N18" s="52"/>
      <x:c r="O18" s="40"/>
      <x:c r="P18" s="40"/>
      <x:c r="Q18" s="37"/>
      <x:c r="R18" s="37"/>
    </x:row>
    <x:row r="19">
      <x:c r="A19" s="37"/>
      <x:c r="B19" s="37"/>
      <x:c r="C19" s="37"/>
      <x:c r="D19" s="37"/>
      <x:c r="E19" s="49"/>
      <x:c r="F19" s="46"/>
      <x:c r="G19" s="46"/>
      <x:c r="H19" s="46"/>
      <x:c r="I19" s="46"/>
      <x:c r="J19" s="40"/>
      <x:c r="K19" s="52"/>
      <x:c r="L19" s="52"/>
      <x:c r="M19" s="52"/>
      <x:c r="N19" s="52"/>
      <x:c r="O19" s="40"/>
      <x:c r="P19" s="40"/>
      <x:c r="Q19" s="37"/>
      <x:c r="R19" s="37"/>
    </x:row>
    <x:row r="20">
      <x:c r="A20" s="37"/>
      <x:c r="B20" s="37"/>
      <x:c r="C20" s="37"/>
      <x:c r="D20" s="37"/>
      <x:c r="E20" s="49"/>
      <x:c r="F20" s="46"/>
      <x:c r="G20" s="46"/>
      <x:c r="H20" s="46"/>
      <x:c r="I20" s="46"/>
      <x:c r="J20" s="40"/>
      <x:c r="K20" s="52"/>
      <x:c r="L20" s="52"/>
      <x:c r="M20" s="52"/>
      <x:c r="N20" s="52"/>
      <x:c r="O20" s="40"/>
      <x:c r="P20" s="40"/>
      <x:c r="Q20" s="37"/>
      <x:c r="R20" s="37"/>
    </x:row>
    <x:row r="21">
      <x:c r="A21" s="37"/>
      <x:c r="B21" s="37"/>
      <x:c r="C21" s="37"/>
      <x:c r="D21" s="37"/>
      <x:c r="E21" s="49"/>
      <x:c r="F21" s="46"/>
      <x:c r="G21" s="46"/>
      <x:c r="H21" s="46"/>
      <x:c r="I21" s="46"/>
      <x:c r="J21" s="40"/>
      <x:c r="K21" s="52"/>
      <x:c r="L21" s="52"/>
      <x:c r="M21" s="52"/>
      <x:c r="N21" s="52"/>
      <x:c r="O21" s="40"/>
      <x:c r="P21" s="40"/>
      <x:c r="Q21" s="37"/>
      <x:c r="R21" s="37"/>
    </x:row>
    <x:row r="22">
      <x:c r="A22" s="37"/>
      <x:c r="B22" s="37"/>
      <x:c r="C22" s="37"/>
      <x:c r="D22" s="37"/>
      <x:c r="E22" s="49"/>
      <x:c r="F22" s="46"/>
      <x:c r="G22" s="46"/>
      <x:c r="H22" s="46"/>
      <x:c r="I22" s="46"/>
      <x:c r="J22" s="40"/>
      <x:c r="K22" s="52"/>
      <x:c r="L22" s="52"/>
      <x:c r="M22" s="52"/>
      <x:c r="N22" s="52"/>
      <x:c r="O22" s="40"/>
      <x:c r="P22" s="40"/>
      <x:c r="Q22" s="37"/>
      <x:c r="R22" s="37"/>
    </x:row>
    <x:row r="23">
      <x:c r="A23" s="37"/>
      <x:c r="B23" s="37"/>
      <x:c r="C23" s="37"/>
      <x:c r="D23" s="37"/>
      <x:c r="E23" s="49"/>
      <x:c r="F23" s="46"/>
      <x:c r="G23" s="46"/>
      <x:c r="H23" s="46"/>
      <x:c r="I23" s="46"/>
      <x:c r="J23" s="40"/>
      <x:c r="K23" s="52"/>
      <x:c r="L23" s="52"/>
      <x:c r="M23" s="52"/>
      <x:c r="N23" s="52"/>
      <x:c r="O23" s="40"/>
      <x:c r="P23" s="40"/>
      <x:c r="Q23" s="37"/>
      <x:c r="R23" s="37"/>
    </x:row>
    <x:row r="24">
      <x:c r="A24" s="37"/>
      <x:c r="B24" s="37"/>
      <x:c r="C24" s="37"/>
      <x:c r="D24" s="37"/>
      <x:c r="E24" s="49"/>
      <x:c r="F24" s="46"/>
      <x:c r="G24" s="46"/>
      <x:c r="H24" s="46"/>
      <x:c r="I24" s="46"/>
      <x:c r="J24" s="40"/>
      <x:c r="K24" s="52"/>
      <x:c r="L24" s="52"/>
      <x:c r="M24" s="52"/>
      <x:c r="N24" s="52"/>
      <x:c r="O24" s="40"/>
      <x:c r="P24" s="40"/>
      <x:c r="Q24" s="37"/>
      <x:c r="R24" s="37"/>
    </x:row>
    <x:row r="25">
      <x:c r="A25" s="37"/>
      <x:c r="B25" s="37"/>
      <x:c r="C25" s="37"/>
      <x:c r="D25" s="37"/>
      <x:c r="E25" s="49"/>
      <x:c r="F25" s="46"/>
      <x:c r="G25" s="46"/>
      <x:c r="H25" s="46"/>
      <x:c r="I25" s="46"/>
      <x:c r="J25" s="40"/>
      <x:c r="K25" s="52"/>
      <x:c r="L25" s="52"/>
      <x:c r="M25" s="52"/>
      <x:c r="N25" s="52"/>
      <x:c r="O25" s="40"/>
      <x:c r="P25" s="40"/>
      <x:c r="Q25" s="37"/>
      <x:c r="R25" s="37"/>
    </x:row>
    <x:row r="26">
      <x:c r="A26" s="37"/>
      <x:c r="B26" s="37"/>
      <x:c r="C26" s="37"/>
      <x:c r="D26" s="37"/>
      <x:c r="E26" s="49"/>
      <x:c r="F26" s="46"/>
      <x:c r="G26" s="46"/>
      <x:c r="H26" s="46"/>
      <x:c r="I26" s="46"/>
      <x:c r="J26" s="40"/>
      <x:c r="K26" s="52"/>
      <x:c r="L26" s="52"/>
      <x:c r="M26" s="52"/>
      <x:c r="N26" s="52"/>
      <x:c r="O26" s="40"/>
      <x:c r="P26" s="40"/>
      <x:c r="Q26" s="37"/>
      <x:c r="R26" s="37"/>
    </x:row>
    <x:row r="27">
      <x:c r="A27" s="37"/>
      <x:c r="B27" s="37"/>
      <x:c r="C27" s="37"/>
      <x:c r="D27" s="37"/>
      <x:c r="E27" s="49"/>
      <x:c r="F27" s="46"/>
      <x:c r="G27" s="46"/>
      <x:c r="H27" s="46"/>
      <x:c r="I27" s="46"/>
      <x:c r="J27" s="40"/>
      <x:c r="K27" s="52"/>
      <x:c r="L27" s="52"/>
      <x:c r="M27" s="52"/>
      <x:c r="N27" s="52"/>
      <x:c r="O27" s="40"/>
      <x:c r="P27" s="40"/>
      <x:c r="Q27" s="37"/>
      <x:c r="R27" s="37"/>
    </x:row>
    <x:row r="28">
      <x:c r="A28" s="37"/>
      <x:c r="B28" s="37"/>
      <x:c r="C28" s="37"/>
      <x:c r="D28" s="37"/>
      <x:c r="E28" s="49"/>
      <x:c r="F28" s="46"/>
      <x:c r="G28" s="46"/>
      <x:c r="H28" s="46"/>
      <x:c r="I28" s="46"/>
      <x:c r="J28" s="40"/>
      <x:c r="K28" s="52"/>
      <x:c r="L28" s="52"/>
      <x:c r="M28" s="52"/>
      <x:c r="N28" s="52"/>
      <x:c r="O28" s="40"/>
      <x:c r="P28" s="40"/>
      <x:c r="Q28" s="37"/>
      <x:c r="R28" s="37"/>
    </x:row>
    <x:row r="29">
      <x:c r="A29" s="37"/>
      <x:c r="B29" s="37"/>
      <x:c r="C29" s="37"/>
      <x:c r="D29" s="37"/>
      <x:c r="E29" s="49"/>
      <x:c r="F29" s="46"/>
      <x:c r="G29" s="46"/>
      <x:c r="H29" s="46"/>
      <x:c r="I29" s="46"/>
      <x:c r="J29" s="40"/>
      <x:c r="K29" s="52"/>
      <x:c r="L29" s="52"/>
      <x:c r="M29" s="52"/>
      <x:c r="N29" s="52"/>
      <x:c r="O29" s="40"/>
      <x:c r="P29" s="40"/>
      <x:c r="Q29" s="37"/>
      <x:c r="R29" s="37"/>
    </x:row>
    <x:row r="30">
      <x:c r="A30" s="37"/>
      <x:c r="B30" s="37"/>
      <x:c r="C30" s="37"/>
      <x:c r="D30" s="37"/>
      <x:c r="E30" s="49"/>
      <x:c r="F30" s="46"/>
      <x:c r="G30" s="46"/>
      <x:c r="H30" s="46"/>
      <x:c r="I30" s="46"/>
      <x:c r="J30" s="40"/>
      <x:c r="K30" s="52"/>
      <x:c r="L30" s="52"/>
      <x:c r="M30" s="52"/>
      <x:c r="N30" s="52"/>
      <x:c r="O30" s="40"/>
      <x:c r="P30" s="40"/>
      <x:c r="Q30" s="37"/>
      <x:c r="R30" s="37"/>
    </x:row>
    <x:row r="31">
      <x:c r="A31" s="37"/>
      <x:c r="B31" s="37"/>
      <x:c r="C31" s="37"/>
      <x:c r="D31" s="37"/>
      <x:c r="E31" s="49"/>
      <x:c r="F31" s="46"/>
      <x:c r="G31" s="46"/>
      <x:c r="H31" s="46"/>
      <x:c r="I31" s="46"/>
      <x:c r="J31" s="40"/>
      <x:c r="K31" s="52"/>
      <x:c r="L31" s="52"/>
      <x:c r="M31" s="52"/>
      <x:c r="N31" s="52"/>
      <x:c r="O31" s="40"/>
      <x:c r="P31" s="40"/>
      <x:c r="Q31" s="37"/>
      <x:c r="R31" s="37"/>
    </x:row>
    <x:row r="32">
      <x:c r="A32" s="37"/>
      <x:c r="B32" s="37"/>
      <x:c r="C32" s="37"/>
      <x:c r="D32" s="37"/>
      <x:c r="E32" s="49"/>
      <x:c r="F32" s="46"/>
      <x:c r="G32" s="46"/>
      <x:c r="H32" s="46"/>
      <x:c r="I32" s="46"/>
      <x:c r="J32" s="40"/>
      <x:c r="K32" s="52"/>
      <x:c r="L32" s="52"/>
      <x:c r="M32" s="52"/>
      <x:c r="N32" s="52"/>
      <x:c r="O32" s="40"/>
      <x:c r="P32" s="40"/>
      <x:c r="Q32" s="37"/>
      <x:c r="R32" s="37"/>
    </x:row>
    <x:row r="33">
      <x:c r="A33" s="37"/>
      <x:c r="B33" s="37"/>
      <x:c r="C33" s="37"/>
      <x:c r="D33" s="37"/>
      <x:c r="E33" s="49"/>
      <x:c r="F33" s="46"/>
      <x:c r="G33" s="46"/>
      <x:c r="H33" s="46"/>
      <x:c r="I33" s="46"/>
      <x:c r="J33" s="40"/>
      <x:c r="K33" s="52"/>
      <x:c r="L33" s="52"/>
      <x:c r="M33" s="52"/>
      <x:c r="N33" s="52"/>
      <x:c r="O33" s="40"/>
      <x:c r="P33" s="40"/>
      <x:c r="Q33" s="37"/>
      <x:c r="R33" s="37"/>
    </x:row>
    <x:row r="34">
      <x:c r="A34" s="37"/>
      <x:c r="B34" s="37"/>
      <x:c r="C34" s="37"/>
      <x:c r="D34" s="37"/>
      <x:c r="E34" s="49"/>
      <x:c r="F34" s="46"/>
      <x:c r="G34" s="46"/>
      <x:c r="H34" s="46"/>
      <x:c r="I34" s="46"/>
      <x:c r="J34" s="40"/>
      <x:c r="K34" s="52"/>
      <x:c r="L34" s="52"/>
      <x:c r="M34" s="52"/>
      <x:c r="N34" s="52"/>
      <x:c r="O34" s="40"/>
      <x:c r="P34" s="40"/>
      <x:c r="Q34" s="37"/>
      <x:c r="R34" s="37"/>
    </x:row>
    <x:row r="35">
      <x:c r="A35" s="38"/>
      <x:c r="B35" s="38"/>
      <x:c r="C35" s="38"/>
      <x:c r="D35" s="38"/>
      <x:c r="E35" s="50"/>
      <x:c r="F35" s="47"/>
      <x:c r="G35" s="47"/>
      <x:c r="H35" s="47"/>
      <x:c r="I35" s="47"/>
      <x:c r="J35" s="41"/>
      <x:c r="K35" s="53"/>
      <x:c r="L35" s="53"/>
      <x:c r="M35" s="53"/>
      <x:c r="N35" s="53"/>
      <x:c r="O35" s="41"/>
      <x:c r="P35" s="41"/>
      <x:c r="Q35" s="38"/>
      <x:c r="R35" s="38"/>
    </x:row>
  </x:sheetData>
  <x:mergeCells>
    <x:mergeCell ref="A1:R1"/>
    <x:mergeCell ref="A2:R2"/>
  </x:mergeCells>
  <x:dataValidations count="7">
    <x:dataValidation type="list" sqref="C6:C35">
      <x:formula1>"窗型定頻（舊式）,分離式定頻,變頻一級能效,高效變頻機種"</x:formula1>
    </x:dataValidation>
    <x:dataValidation type="decimal" operator="between" sqref="E6:E35">
      <x:formula1>0.2</x:formula1>
      <x:formula2>10</x:formula2>
    </x:dataValidation>
    <x:dataValidation type="whole" operator="between" sqref="F6:F35">
      <x:formula1>1</x:formula1>
      <x:formula2>2000</x:formula2>
    </x:dataValidation>
    <x:dataValidation type="decimal" operator="between" sqref="G6:G35">
      <x:formula1>0</x:formula1>
      <x:formula2>30</x:formula2>
    </x:dataValidation>
    <x:dataValidation type="whole" operator="between" sqref="J6:J35">
      <x:formula1>1</x:formula1>
      <x:formula2>31</x:formula2>
    </x:dataValidation>
    <x:dataValidation type="decimal" operator="between" sqref="K6:N35">
      <x:formula1>0</x:formula1>
      <x:formula2>1</x:formula2>
    </x:dataValidation>
    <x:dataValidation type="whole" operator="between" sqref="O6:P35">
      <x:formula1>0</x:formula1>
      <x:formula2>60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6d2bd7a57d347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4" hidden="0" customWidth="1"/>
    <x:col min="4" max="4" width="19" hidden="0" customWidth="1"/>
    <x:col min="5" max="5" width="13" hidden="0" customWidth="1"/>
    <x:col min="6" max="6" width="16" hidden="0" customWidth="1"/>
    <x:col min="7" max="7" width="20" hidden="0" customWidth="1"/>
    <x:col min="8" max="8" width="24" hidden="0" customWidth="1"/>
    <x:col min="9" max="9" width="20" hidden="0" customWidth="1"/>
    <x:col min="10" max="10" width="32" hidden="0" customWidth="1"/>
  </x:cols>
  <x:sheetData>
    <x:row r="1" ht="32" customHeight="1">
      <x:c r="A1" s="3" t="str">
        <x:v>冷氣保養、巡檢與故障事件紀錄</x:v>
      </x:c>
      <x:c r="B1" s="3" t="str">
        <x:v>冷氣保養、巡檢與故障事件紀錄</x:v>
      </x:c>
      <x:c r="C1" s="3" t="str">
        <x:v>冷氣保養、巡檢與故障事件紀錄</x:v>
      </x:c>
      <x:c r="D1" s="3" t="str">
        <x:v>冷氣保養、巡檢與故障事件紀錄</x:v>
      </x:c>
      <x:c r="E1" s="3" t="str">
        <x:v>冷氣保養、巡檢與故障事件紀錄</x:v>
      </x:c>
      <x:c r="F1" s="3" t="str">
        <x:v>冷氣保養、巡檢與故障事件紀錄</x:v>
      </x:c>
      <x:c r="G1" s="3" t="str">
        <x:v>冷氣保養、巡檢與故障事件紀錄</x:v>
      </x:c>
      <x:c r="H1" s="3" t="str">
        <x:v>冷氣保養、巡檢與故障事件紀錄</x:v>
      </x:c>
      <x:c r="I1" s="3" t="str">
        <x:v>冷氣保養、巡檢與故障事件紀錄</x:v>
      </x:c>
      <x:c r="J1" s="3" t="str">
        <x:v>冷氣保養、巡檢與故障事件紀錄</x:v>
      </x:c>
    </x:row>
    <x:row r="2" ht="34" customHeight="1">
      <x:c r="A2" s="7" t="str">
        <x:v>每一事件一列；故障事件是未來訓練分類器或生存模型的重要標籤。設備群組 ID 必須能對應冷氣設備清冊。</x:v>
      </x:c>
      <x:c r="B2" s="7" t="str">
        <x:v>每一事件一列；故障事件是未來訓練分類器或生存模型的重要標籤。設備群組 ID 必須能對應冷氣設備清冊。</x:v>
      </x:c>
      <x:c r="C2" s="7" t="str">
        <x:v>每一事件一列；故障事件是未來訓練分類器或生存模型的重要標籤。設備群組 ID 必須能對應冷氣設備清冊。</x:v>
      </x:c>
      <x:c r="D2" s="7" t="str">
        <x:v>每一事件一列；故障事件是未來訓練分類器或生存模型的重要標籤。設備群組 ID 必須能對應冷氣設備清冊。</x:v>
      </x:c>
      <x:c r="E2" s="7" t="str">
        <x:v>每一事件一列；故障事件是未來訓練分類器或生存模型的重要標籤。設備群組 ID 必須能對應冷氣設備清冊。</x:v>
      </x:c>
      <x:c r="F2" s="7" t="str">
        <x:v>每一事件一列；故障事件是未來訓練分類器或生存模型的重要標籤。設備群組 ID 必須能對應冷氣設備清冊。</x:v>
      </x:c>
      <x:c r="G2" s="7" t="str">
        <x:v>每一事件一列；故障事件是未來訓練分類器或生存模型的重要標籤。設備群組 ID 必須能對應冷氣設備清冊。</x:v>
      </x:c>
      <x:c r="H2" s="7" t="str">
        <x:v>每一事件一列；故障事件是未來訓練分類器或生存模型的重要標籤。設備群組 ID 必須能對應冷氣設備清冊。</x:v>
      </x:c>
      <x:c r="I2" s="7" t="str">
        <x:v>每一事件一列；故障事件是未來訓練分類器或生存模型的重要標籤。設備群組 ID 必須能對應冷氣設備清冊。</x:v>
      </x:c>
      <x:c r="J2" s="7" t="str">
        <x:v>每一事件一列；故障事件是未來訓練分類器或生存模型的重要標籤。設備群組 ID 必須能對應冷氣設備清冊。</x:v>
      </x:c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</x:row>
    <x:row r="4">
      <x:c r="A4" s="75"/>
      <x:c r="B4" s="75"/>
      <x:c r="C4" s="75"/>
      <x:c r="D4" s="75"/>
      <x:c r="E4" s="75"/>
      <x:c r="F4" s="75"/>
      <x:c r="G4" s="75"/>
      <x:c r="H4" s="75"/>
      <x:c r="I4" s="75"/>
      <x:c r="J4" s="75"/>
    </x:row>
    <x:row r="5" ht="36" customHeight="1">
      <x:c r="A5" s="19" t="str">
        <x:v>事件日期</x:v>
      </x:c>
      <x:c r="B5" s="20" t="str">
        <x:v>設備群組_ID</x:v>
      </x:c>
      <x:c r="C5" s="20" t="str">
        <x:v>事件類型</x:v>
      </x:c>
      <x:c r="D5" s="20" t="str">
        <x:v>故障類型</x:v>
      </x:c>
      <x:c r="E5" s="20" t="str">
        <x:v>停機時數</x:v>
      </x:c>
      <x:c r="F5" s="20" t="str">
        <x:v>維修成本_元</x:v>
      </x:c>
      <x:c r="G5" s="20" t="str">
        <x:v>更換零件</x:v>
      </x:c>
      <x:c r="H5" s="20" t="str">
        <x:v>處理結果</x:v>
      </x:c>
      <x:c r="I5" s="20" t="str">
        <x:v>資料來源</x:v>
      </x:c>
      <x:c r="J5" s="21" t="str">
        <x:v>備註</x:v>
      </x:c>
    </x:row>
    <x:row r="6">
      <x:c r="A6" s="54" t="n">
        <x:v>45361</x:v>
      </x:c>
      <x:c r="B6" s="29" t="str">
        <x:v>AC-A-01</x:v>
      </x:c>
      <x:c r="C6" s="29" t="str">
        <x:v>保養</x:v>
      </x:c>
      <x:c r="D6" s="29" t="str">
        <x:v>無</x:v>
      </x:c>
      <x:c r="E6" s="45" t="n">
        <x:v>0</x:v>
      </x:c>
      <x:c r="F6" s="42" t="n">
        <x:v>12000</x:v>
      </x:c>
      <x:c r="G6" s="29" t="str">
        <x:v>濾網</x:v>
      </x:c>
      <x:c r="H6" s="29" t="str">
        <x:v>完成清潔</x:v>
      </x:c>
      <x:c r="I6" s="29" t="str">
        <x:v>示範資料</x:v>
      </x:c>
      <x:c r="J6" s="29" t="str"/>
    </x:row>
    <x:row r="7">
      <x:c r="A7" s="55" t="n">
        <x:v>45491</x:v>
      </x:c>
      <x:c r="B7" s="37" t="str">
        <x:v>AC-B-01</x:v>
      </x:c>
      <x:c r="C7" s="37" t="str">
        <x:v>故障</x:v>
      </x:c>
      <x:c r="D7" s="37" t="str">
        <x:v>冷媒異常</x:v>
      </x:c>
      <x:c r="E7" s="46" t="n">
        <x:v>8</x:v>
      </x:c>
      <x:c r="F7" s="43" t="n">
        <x:v>6500</x:v>
      </x:c>
      <x:c r="G7" s="37" t="str">
        <x:v>冷媒管路</x:v>
      </x:c>
      <x:c r="H7" s="37" t="str">
        <x:v>恢復運轉</x:v>
      </x:c>
      <x:c r="I7" s="37" t="str">
        <x:v>示範資料</x:v>
      </x:c>
      <x:c r="J7" s="37" t="str"/>
    </x:row>
    <x:row r="8">
      <x:c r="A8" s="55" t="n">
        <x:v>45509</x:v>
      </x:c>
      <x:c r="B8" s="37" t="str">
        <x:v>AC-C-01</x:v>
      </x:c>
      <x:c r="C8" s="37" t="str">
        <x:v>故障</x:v>
      </x:c>
      <x:c r="D8" s="37" t="str">
        <x:v>壓縮機異常</x:v>
      </x:c>
      <x:c r="E8" s="46" t="n">
        <x:v>72</x:v>
      </x:c>
      <x:c r="F8" s="43" t="n">
        <x:v>28000</x:v>
      </x:c>
      <x:c r="G8" s="37" t="str">
        <x:v>壓縮機</x:v>
      </x:c>
      <x:c r="H8" s="37" t="str">
        <x:v>完成更換</x:v>
      </x:c>
      <x:c r="I8" s="37" t="str">
        <x:v>示範資料</x:v>
      </x:c>
      <x:c r="J8" s="37" t="str"/>
    </x:row>
    <x:row r="9">
      <x:c r="A9" s="55"/>
      <x:c r="B9" s="37"/>
      <x:c r="C9" s="37"/>
      <x:c r="D9" s="37"/>
      <x:c r="E9" s="46"/>
      <x:c r="F9" s="43"/>
      <x:c r="G9" s="37"/>
      <x:c r="H9" s="37"/>
      <x:c r="I9" s="37"/>
      <x:c r="J9" s="37"/>
    </x:row>
    <x:row r="10">
      <x:c r="A10" s="55"/>
      <x:c r="B10" s="37"/>
      <x:c r="C10" s="37"/>
      <x:c r="D10" s="37"/>
      <x:c r="E10" s="46"/>
      <x:c r="F10" s="43"/>
      <x:c r="G10" s="37"/>
      <x:c r="H10" s="37"/>
      <x:c r="I10" s="37"/>
      <x:c r="J10" s="37"/>
    </x:row>
    <x:row r="11">
      <x:c r="A11" s="55"/>
      <x:c r="B11" s="37"/>
      <x:c r="C11" s="37"/>
      <x:c r="D11" s="37"/>
      <x:c r="E11" s="46"/>
      <x:c r="F11" s="43"/>
      <x:c r="G11" s="37"/>
      <x:c r="H11" s="37"/>
      <x:c r="I11" s="37"/>
      <x:c r="J11" s="37"/>
    </x:row>
    <x:row r="12">
      <x:c r="A12" s="55"/>
      <x:c r="B12" s="37"/>
      <x:c r="C12" s="37"/>
      <x:c r="D12" s="37"/>
      <x:c r="E12" s="46"/>
      <x:c r="F12" s="43"/>
      <x:c r="G12" s="37"/>
      <x:c r="H12" s="37"/>
      <x:c r="I12" s="37"/>
      <x:c r="J12" s="37"/>
    </x:row>
    <x:row r="13">
      <x:c r="A13" s="55"/>
      <x:c r="B13" s="37"/>
      <x:c r="C13" s="37"/>
      <x:c r="D13" s="37"/>
      <x:c r="E13" s="46"/>
      <x:c r="F13" s="43"/>
      <x:c r="G13" s="37"/>
      <x:c r="H13" s="37"/>
      <x:c r="I13" s="37"/>
      <x:c r="J13" s="37"/>
    </x:row>
    <x:row r="14">
      <x:c r="A14" s="55"/>
      <x:c r="B14" s="37"/>
      <x:c r="C14" s="37"/>
      <x:c r="D14" s="37"/>
      <x:c r="E14" s="46"/>
      <x:c r="F14" s="43"/>
      <x:c r="G14" s="37"/>
      <x:c r="H14" s="37"/>
      <x:c r="I14" s="37"/>
      <x:c r="J14" s="37"/>
    </x:row>
    <x:row r="15">
      <x:c r="A15" s="55"/>
      <x:c r="B15" s="37"/>
      <x:c r="C15" s="37"/>
      <x:c r="D15" s="37"/>
      <x:c r="E15" s="46"/>
      <x:c r="F15" s="43"/>
      <x:c r="G15" s="37"/>
      <x:c r="H15" s="37"/>
      <x:c r="I15" s="37"/>
      <x:c r="J15" s="37"/>
    </x:row>
    <x:row r="16">
      <x:c r="A16" s="55"/>
      <x:c r="B16" s="37"/>
      <x:c r="C16" s="37"/>
      <x:c r="D16" s="37"/>
      <x:c r="E16" s="46"/>
      <x:c r="F16" s="43"/>
      <x:c r="G16" s="37"/>
      <x:c r="H16" s="37"/>
      <x:c r="I16" s="37"/>
      <x:c r="J16" s="37"/>
    </x:row>
    <x:row r="17">
      <x:c r="A17" s="55"/>
      <x:c r="B17" s="37"/>
      <x:c r="C17" s="37"/>
      <x:c r="D17" s="37"/>
      <x:c r="E17" s="46"/>
      <x:c r="F17" s="43"/>
      <x:c r="G17" s="37"/>
      <x:c r="H17" s="37"/>
      <x:c r="I17" s="37"/>
      <x:c r="J17" s="37"/>
    </x:row>
    <x:row r="18">
      <x:c r="A18" s="55"/>
      <x:c r="B18" s="37"/>
      <x:c r="C18" s="37"/>
      <x:c r="D18" s="37"/>
      <x:c r="E18" s="46"/>
      <x:c r="F18" s="43"/>
      <x:c r="G18" s="37"/>
      <x:c r="H18" s="37"/>
      <x:c r="I18" s="37"/>
      <x:c r="J18" s="37"/>
    </x:row>
    <x:row r="19">
      <x:c r="A19" s="55"/>
      <x:c r="B19" s="37"/>
      <x:c r="C19" s="37"/>
      <x:c r="D19" s="37"/>
      <x:c r="E19" s="46"/>
      <x:c r="F19" s="43"/>
      <x:c r="G19" s="37"/>
      <x:c r="H19" s="37"/>
      <x:c r="I19" s="37"/>
      <x:c r="J19" s="37"/>
    </x:row>
    <x:row r="20">
      <x:c r="A20" s="55"/>
      <x:c r="B20" s="37"/>
      <x:c r="C20" s="37"/>
      <x:c r="D20" s="37"/>
      <x:c r="E20" s="46"/>
      <x:c r="F20" s="43"/>
      <x:c r="G20" s="37"/>
      <x:c r="H20" s="37"/>
      <x:c r="I20" s="37"/>
      <x:c r="J20" s="37"/>
    </x:row>
    <x:row r="21">
      <x:c r="A21" s="55"/>
      <x:c r="B21" s="37"/>
      <x:c r="C21" s="37"/>
      <x:c r="D21" s="37"/>
      <x:c r="E21" s="46"/>
      <x:c r="F21" s="43"/>
      <x:c r="G21" s="37"/>
      <x:c r="H21" s="37"/>
      <x:c r="I21" s="37"/>
      <x:c r="J21" s="37"/>
    </x:row>
    <x:row r="22">
      <x:c r="A22" s="55"/>
      <x:c r="B22" s="37"/>
      <x:c r="C22" s="37"/>
      <x:c r="D22" s="37"/>
      <x:c r="E22" s="46"/>
      <x:c r="F22" s="43"/>
      <x:c r="G22" s="37"/>
      <x:c r="H22" s="37"/>
      <x:c r="I22" s="37"/>
      <x:c r="J22" s="37"/>
    </x:row>
    <x:row r="23">
      <x:c r="A23" s="55"/>
      <x:c r="B23" s="37"/>
      <x:c r="C23" s="37"/>
      <x:c r="D23" s="37"/>
      <x:c r="E23" s="46"/>
      <x:c r="F23" s="43"/>
      <x:c r="G23" s="37"/>
      <x:c r="H23" s="37"/>
      <x:c r="I23" s="37"/>
      <x:c r="J23" s="37"/>
    </x:row>
    <x:row r="24">
      <x:c r="A24" s="55"/>
      <x:c r="B24" s="37"/>
      <x:c r="C24" s="37"/>
      <x:c r="D24" s="37"/>
      <x:c r="E24" s="46"/>
      <x:c r="F24" s="43"/>
      <x:c r="G24" s="37"/>
      <x:c r="H24" s="37"/>
      <x:c r="I24" s="37"/>
      <x:c r="J24" s="37"/>
    </x:row>
    <x:row r="25">
      <x:c r="A25" s="55"/>
      <x:c r="B25" s="37"/>
      <x:c r="C25" s="37"/>
      <x:c r="D25" s="37"/>
      <x:c r="E25" s="46"/>
      <x:c r="F25" s="43"/>
      <x:c r="G25" s="37"/>
      <x:c r="H25" s="37"/>
      <x:c r="I25" s="37"/>
      <x:c r="J25" s="37"/>
    </x:row>
    <x:row r="26">
      <x:c r="A26" s="55"/>
      <x:c r="B26" s="37"/>
      <x:c r="C26" s="37"/>
      <x:c r="D26" s="37"/>
      <x:c r="E26" s="46"/>
      <x:c r="F26" s="43"/>
      <x:c r="G26" s="37"/>
      <x:c r="H26" s="37"/>
      <x:c r="I26" s="37"/>
      <x:c r="J26" s="37"/>
    </x:row>
    <x:row r="27">
      <x:c r="A27" s="55"/>
      <x:c r="B27" s="37"/>
      <x:c r="C27" s="37"/>
      <x:c r="D27" s="37"/>
      <x:c r="E27" s="46"/>
      <x:c r="F27" s="43"/>
      <x:c r="G27" s="37"/>
      <x:c r="H27" s="37"/>
      <x:c r="I27" s="37"/>
      <x:c r="J27" s="37"/>
    </x:row>
    <x:row r="28">
      <x:c r="A28" s="55"/>
      <x:c r="B28" s="37"/>
      <x:c r="C28" s="37"/>
      <x:c r="D28" s="37"/>
      <x:c r="E28" s="46"/>
      <x:c r="F28" s="43"/>
      <x:c r="G28" s="37"/>
      <x:c r="H28" s="37"/>
      <x:c r="I28" s="37"/>
      <x:c r="J28" s="37"/>
    </x:row>
    <x:row r="29">
      <x:c r="A29" s="55"/>
      <x:c r="B29" s="37"/>
      <x:c r="C29" s="37"/>
      <x:c r="D29" s="37"/>
      <x:c r="E29" s="46"/>
      <x:c r="F29" s="43"/>
      <x:c r="G29" s="37"/>
      <x:c r="H29" s="37"/>
      <x:c r="I29" s="37"/>
      <x:c r="J29" s="37"/>
    </x:row>
    <x:row r="30">
      <x:c r="A30" s="55"/>
      <x:c r="B30" s="37"/>
      <x:c r="C30" s="37"/>
      <x:c r="D30" s="37"/>
      <x:c r="E30" s="46"/>
      <x:c r="F30" s="43"/>
      <x:c r="G30" s="37"/>
      <x:c r="H30" s="37"/>
      <x:c r="I30" s="37"/>
      <x:c r="J30" s="37"/>
    </x:row>
    <x:row r="31">
      <x:c r="A31" s="55"/>
      <x:c r="B31" s="37"/>
      <x:c r="C31" s="37"/>
      <x:c r="D31" s="37"/>
      <x:c r="E31" s="46"/>
      <x:c r="F31" s="43"/>
      <x:c r="G31" s="37"/>
      <x:c r="H31" s="37"/>
      <x:c r="I31" s="37"/>
      <x:c r="J31" s="37"/>
    </x:row>
    <x:row r="32">
      <x:c r="A32" s="55"/>
      <x:c r="B32" s="37"/>
      <x:c r="C32" s="37"/>
      <x:c r="D32" s="37"/>
      <x:c r="E32" s="46"/>
      <x:c r="F32" s="43"/>
      <x:c r="G32" s="37"/>
      <x:c r="H32" s="37"/>
      <x:c r="I32" s="37"/>
      <x:c r="J32" s="37"/>
    </x:row>
    <x:row r="33">
      <x:c r="A33" s="55"/>
      <x:c r="B33" s="37"/>
      <x:c r="C33" s="37"/>
      <x:c r="D33" s="37"/>
      <x:c r="E33" s="46"/>
      <x:c r="F33" s="43"/>
      <x:c r="G33" s="37"/>
      <x:c r="H33" s="37"/>
      <x:c r="I33" s="37"/>
      <x:c r="J33" s="37"/>
    </x:row>
    <x:row r="34">
      <x:c r="A34" s="55"/>
      <x:c r="B34" s="37"/>
      <x:c r="C34" s="37"/>
      <x:c r="D34" s="37"/>
      <x:c r="E34" s="46"/>
      <x:c r="F34" s="43"/>
      <x:c r="G34" s="37"/>
      <x:c r="H34" s="37"/>
      <x:c r="I34" s="37"/>
      <x:c r="J34" s="37"/>
    </x:row>
    <x:row r="35">
      <x:c r="A35" s="55"/>
      <x:c r="B35" s="37"/>
      <x:c r="C35" s="37"/>
      <x:c r="D35" s="37"/>
      <x:c r="E35" s="46"/>
      <x:c r="F35" s="43"/>
      <x:c r="G35" s="37"/>
      <x:c r="H35" s="37"/>
      <x:c r="I35" s="37"/>
      <x:c r="J35" s="37"/>
    </x:row>
    <x:row r="36">
      <x:c r="A36" s="55"/>
      <x:c r="B36" s="37"/>
      <x:c r="C36" s="37"/>
      <x:c r="D36" s="37"/>
      <x:c r="E36" s="46"/>
      <x:c r="F36" s="43"/>
      <x:c r="G36" s="37"/>
      <x:c r="H36" s="37"/>
      <x:c r="I36" s="37"/>
      <x:c r="J36" s="37"/>
    </x:row>
    <x:row r="37">
      <x:c r="A37" s="55"/>
      <x:c r="B37" s="37"/>
      <x:c r="C37" s="37"/>
      <x:c r="D37" s="37"/>
      <x:c r="E37" s="46"/>
      <x:c r="F37" s="43"/>
      <x:c r="G37" s="37"/>
      <x:c r="H37" s="37"/>
      <x:c r="I37" s="37"/>
      <x:c r="J37" s="37"/>
    </x:row>
    <x:row r="38">
      <x:c r="A38" s="55"/>
      <x:c r="B38" s="37"/>
      <x:c r="C38" s="37"/>
      <x:c r="D38" s="37"/>
      <x:c r="E38" s="46"/>
      <x:c r="F38" s="43"/>
      <x:c r="G38" s="37"/>
      <x:c r="H38" s="37"/>
      <x:c r="I38" s="37"/>
      <x:c r="J38" s="37"/>
    </x:row>
    <x:row r="39">
      <x:c r="A39" s="55"/>
      <x:c r="B39" s="37"/>
      <x:c r="C39" s="37"/>
      <x:c r="D39" s="37"/>
      <x:c r="E39" s="46"/>
      <x:c r="F39" s="43"/>
      <x:c r="G39" s="37"/>
      <x:c r="H39" s="37"/>
      <x:c r="I39" s="37"/>
      <x:c r="J39" s="37"/>
    </x:row>
    <x:row r="40">
      <x:c r="A40" s="55"/>
      <x:c r="B40" s="37"/>
      <x:c r="C40" s="37"/>
      <x:c r="D40" s="37"/>
      <x:c r="E40" s="46"/>
      <x:c r="F40" s="43"/>
      <x:c r="G40" s="37"/>
      <x:c r="H40" s="37"/>
      <x:c r="I40" s="37"/>
      <x:c r="J40" s="37"/>
    </x:row>
    <x:row r="41">
      <x:c r="A41" s="55"/>
      <x:c r="B41" s="37"/>
      <x:c r="C41" s="37"/>
      <x:c r="D41" s="37"/>
      <x:c r="E41" s="46"/>
      <x:c r="F41" s="43"/>
      <x:c r="G41" s="37"/>
      <x:c r="H41" s="37"/>
      <x:c r="I41" s="37"/>
      <x:c r="J41" s="37"/>
    </x:row>
    <x:row r="42">
      <x:c r="A42" s="55"/>
      <x:c r="B42" s="37"/>
      <x:c r="C42" s="37"/>
      <x:c r="D42" s="37"/>
      <x:c r="E42" s="46"/>
      <x:c r="F42" s="43"/>
      <x:c r="G42" s="37"/>
      <x:c r="H42" s="37"/>
      <x:c r="I42" s="37"/>
      <x:c r="J42" s="37"/>
    </x:row>
    <x:row r="43">
      <x:c r="A43" s="55"/>
      <x:c r="B43" s="37"/>
      <x:c r="C43" s="37"/>
      <x:c r="D43" s="37"/>
      <x:c r="E43" s="46"/>
      <x:c r="F43" s="43"/>
      <x:c r="G43" s="37"/>
      <x:c r="H43" s="37"/>
      <x:c r="I43" s="37"/>
      <x:c r="J43" s="37"/>
    </x:row>
    <x:row r="44">
      <x:c r="A44" s="55"/>
      <x:c r="B44" s="37"/>
      <x:c r="C44" s="37"/>
      <x:c r="D44" s="37"/>
      <x:c r="E44" s="46"/>
      <x:c r="F44" s="43"/>
      <x:c r="G44" s="37"/>
      <x:c r="H44" s="37"/>
      <x:c r="I44" s="37"/>
      <x:c r="J44" s="37"/>
    </x:row>
    <x:row r="45">
      <x:c r="A45" s="55"/>
      <x:c r="B45" s="37"/>
      <x:c r="C45" s="37"/>
      <x:c r="D45" s="37"/>
      <x:c r="E45" s="46"/>
      <x:c r="F45" s="43"/>
      <x:c r="G45" s="37"/>
      <x:c r="H45" s="37"/>
      <x:c r="I45" s="37"/>
      <x:c r="J45" s="37"/>
    </x:row>
    <x:row r="46">
      <x:c r="A46" s="55"/>
      <x:c r="B46" s="37"/>
      <x:c r="C46" s="37"/>
      <x:c r="D46" s="37"/>
      <x:c r="E46" s="46"/>
      <x:c r="F46" s="43"/>
      <x:c r="G46" s="37"/>
      <x:c r="H46" s="37"/>
      <x:c r="I46" s="37"/>
      <x:c r="J46" s="37"/>
    </x:row>
    <x:row r="47">
      <x:c r="A47" s="55"/>
      <x:c r="B47" s="37"/>
      <x:c r="C47" s="37"/>
      <x:c r="D47" s="37"/>
      <x:c r="E47" s="46"/>
      <x:c r="F47" s="43"/>
      <x:c r="G47" s="37"/>
      <x:c r="H47" s="37"/>
      <x:c r="I47" s="37"/>
      <x:c r="J47" s="37"/>
    </x:row>
    <x:row r="48">
      <x:c r="A48" s="55"/>
      <x:c r="B48" s="37"/>
      <x:c r="C48" s="37"/>
      <x:c r="D48" s="37"/>
      <x:c r="E48" s="46"/>
      <x:c r="F48" s="43"/>
      <x:c r="G48" s="37"/>
      <x:c r="H48" s="37"/>
      <x:c r="I48" s="37"/>
      <x:c r="J48" s="37"/>
    </x:row>
    <x:row r="49">
      <x:c r="A49" s="55"/>
      <x:c r="B49" s="37"/>
      <x:c r="C49" s="37"/>
      <x:c r="D49" s="37"/>
      <x:c r="E49" s="46"/>
      <x:c r="F49" s="43"/>
      <x:c r="G49" s="37"/>
      <x:c r="H49" s="37"/>
      <x:c r="I49" s="37"/>
      <x:c r="J49" s="37"/>
    </x:row>
    <x:row r="50">
      <x:c r="A50" s="55"/>
      <x:c r="B50" s="37"/>
      <x:c r="C50" s="37"/>
      <x:c r="D50" s="37"/>
      <x:c r="E50" s="46"/>
      <x:c r="F50" s="43"/>
      <x:c r="G50" s="37"/>
      <x:c r="H50" s="37"/>
      <x:c r="I50" s="37"/>
      <x:c r="J50" s="37"/>
    </x:row>
    <x:row r="51">
      <x:c r="A51" s="55"/>
      <x:c r="B51" s="37"/>
      <x:c r="C51" s="37"/>
      <x:c r="D51" s="37"/>
      <x:c r="E51" s="46"/>
      <x:c r="F51" s="43"/>
      <x:c r="G51" s="37"/>
      <x:c r="H51" s="37"/>
      <x:c r="I51" s="37"/>
      <x:c r="J51" s="37"/>
    </x:row>
    <x:row r="52">
      <x:c r="A52" s="55"/>
      <x:c r="B52" s="37"/>
      <x:c r="C52" s="37"/>
      <x:c r="D52" s="37"/>
      <x:c r="E52" s="46"/>
      <x:c r="F52" s="43"/>
      <x:c r="G52" s="37"/>
      <x:c r="H52" s="37"/>
      <x:c r="I52" s="37"/>
      <x:c r="J52" s="37"/>
    </x:row>
    <x:row r="53">
      <x:c r="A53" s="55"/>
      <x:c r="B53" s="37"/>
      <x:c r="C53" s="37"/>
      <x:c r="D53" s="37"/>
      <x:c r="E53" s="46"/>
      <x:c r="F53" s="43"/>
      <x:c r="G53" s="37"/>
      <x:c r="H53" s="37"/>
      <x:c r="I53" s="37"/>
      <x:c r="J53" s="37"/>
    </x:row>
    <x:row r="54">
      <x:c r="A54" s="55"/>
      <x:c r="B54" s="37"/>
      <x:c r="C54" s="37"/>
      <x:c r="D54" s="37"/>
      <x:c r="E54" s="46"/>
      <x:c r="F54" s="43"/>
      <x:c r="G54" s="37"/>
      <x:c r="H54" s="37"/>
      <x:c r="I54" s="37"/>
      <x:c r="J54" s="37"/>
    </x:row>
    <x:row r="55">
      <x:c r="A55" s="55"/>
      <x:c r="B55" s="37"/>
      <x:c r="C55" s="37"/>
      <x:c r="D55" s="37"/>
      <x:c r="E55" s="46"/>
      <x:c r="F55" s="43"/>
      <x:c r="G55" s="37"/>
      <x:c r="H55" s="37"/>
      <x:c r="I55" s="37"/>
      <x:c r="J55" s="37"/>
    </x:row>
    <x:row r="56">
      <x:c r="A56" s="55"/>
      <x:c r="B56" s="37"/>
      <x:c r="C56" s="37"/>
      <x:c r="D56" s="37"/>
      <x:c r="E56" s="46"/>
      <x:c r="F56" s="43"/>
      <x:c r="G56" s="37"/>
      <x:c r="H56" s="37"/>
      <x:c r="I56" s="37"/>
      <x:c r="J56" s="37"/>
    </x:row>
    <x:row r="57">
      <x:c r="A57" s="55"/>
      <x:c r="B57" s="37"/>
      <x:c r="C57" s="37"/>
      <x:c r="D57" s="37"/>
      <x:c r="E57" s="46"/>
      <x:c r="F57" s="43"/>
      <x:c r="G57" s="37"/>
      <x:c r="H57" s="37"/>
      <x:c r="I57" s="37"/>
      <x:c r="J57" s="37"/>
    </x:row>
    <x:row r="58">
      <x:c r="A58" s="55"/>
      <x:c r="B58" s="37"/>
      <x:c r="C58" s="37"/>
      <x:c r="D58" s="37"/>
      <x:c r="E58" s="46"/>
      <x:c r="F58" s="43"/>
      <x:c r="G58" s="37"/>
      <x:c r="H58" s="37"/>
      <x:c r="I58" s="37"/>
      <x:c r="J58" s="37"/>
    </x:row>
    <x:row r="59">
      <x:c r="A59" s="55"/>
      <x:c r="B59" s="37"/>
      <x:c r="C59" s="37"/>
      <x:c r="D59" s="37"/>
      <x:c r="E59" s="46"/>
      <x:c r="F59" s="43"/>
      <x:c r="G59" s="37"/>
      <x:c r="H59" s="37"/>
      <x:c r="I59" s="37"/>
      <x:c r="J59" s="37"/>
    </x:row>
    <x:row r="60">
      <x:c r="A60" s="55"/>
      <x:c r="B60" s="37"/>
      <x:c r="C60" s="37"/>
      <x:c r="D60" s="37"/>
      <x:c r="E60" s="46"/>
      <x:c r="F60" s="43"/>
      <x:c r="G60" s="37"/>
      <x:c r="H60" s="37"/>
      <x:c r="I60" s="37"/>
      <x:c r="J60" s="37"/>
    </x:row>
    <x:row r="61">
      <x:c r="A61" s="55"/>
      <x:c r="B61" s="37"/>
      <x:c r="C61" s="37"/>
      <x:c r="D61" s="37"/>
      <x:c r="E61" s="46"/>
      <x:c r="F61" s="43"/>
      <x:c r="G61" s="37"/>
      <x:c r="H61" s="37"/>
      <x:c r="I61" s="37"/>
      <x:c r="J61" s="37"/>
    </x:row>
    <x:row r="62">
      <x:c r="A62" s="55"/>
      <x:c r="B62" s="37"/>
      <x:c r="C62" s="37"/>
      <x:c r="D62" s="37"/>
      <x:c r="E62" s="46"/>
      <x:c r="F62" s="43"/>
      <x:c r="G62" s="37"/>
      <x:c r="H62" s="37"/>
      <x:c r="I62" s="37"/>
      <x:c r="J62" s="37"/>
    </x:row>
    <x:row r="63">
      <x:c r="A63" s="55"/>
      <x:c r="B63" s="37"/>
      <x:c r="C63" s="37"/>
      <x:c r="D63" s="37"/>
      <x:c r="E63" s="46"/>
      <x:c r="F63" s="43"/>
      <x:c r="G63" s="37"/>
      <x:c r="H63" s="37"/>
      <x:c r="I63" s="37"/>
      <x:c r="J63" s="37"/>
    </x:row>
    <x:row r="64">
      <x:c r="A64" s="55"/>
      <x:c r="B64" s="37"/>
      <x:c r="C64" s="37"/>
      <x:c r="D64" s="37"/>
      <x:c r="E64" s="46"/>
      <x:c r="F64" s="43"/>
      <x:c r="G64" s="37"/>
      <x:c r="H64" s="37"/>
      <x:c r="I64" s="37"/>
      <x:c r="J64" s="37"/>
    </x:row>
    <x:row r="65">
      <x:c r="A65" s="55"/>
      <x:c r="B65" s="37"/>
      <x:c r="C65" s="37"/>
      <x:c r="D65" s="37"/>
      <x:c r="E65" s="46"/>
      <x:c r="F65" s="43"/>
      <x:c r="G65" s="37"/>
      <x:c r="H65" s="37"/>
      <x:c r="I65" s="37"/>
      <x:c r="J65" s="37"/>
    </x:row>
    <x:row r="66">
      <x:c r="A66" s="55"/>
      <x:c r="B66" s="37"/>
      <x:c r="C66" s="37"/>
      <x:c r="D66" s="37"/>
      <x:c r="E66" s="46"/>
      <x:c r="F66" s="43"/>
      <x:c r="G66" s="37"/>
      <x:c r="H66" s="37"/>
      <x:c r="I66" s="37"/>
      <x:c r="J66" s="37"/>
    </x:row>
    <x:row r="67">
      <x:c r="A67" s="55"/>
      <x:c r="B67" s="37"/>
      <x:c r="C67" s="37"/>
      <x:c r="D67" s="37"/>
      <x:c r="E67" s="46"/>
      <x:c r="F67" s="43"/>
      <x:c r="G67" s="37"/>
      <x:c r="H67" s="37"/>
      <x:c r="I67" s="37"/>
      <x:c r="J67" s="37"/>
    </x:row>
    <x:row r="68">
      <x:c r="A68" s="55"/>
      <x:c r="B68" s="37"/>
      <x:c r="C68" s="37"/>
      <x:c r="D68" s="37"/>
      <x:c r="E68" s="46"/>
      <x:c r="F68" s="43"/>
      <x:c r="G68" s="37"/>
      <x:c r="H68" s="37"/>
      <x:c r="I68" s="37"/>
      <x:c r="J68" s="37"/>
    </x:row>
    <x:row r="69">
      <x:c r="A69" s="55"/>
      <x:c r="B69" s="37"/>
      <x:c r="C69" s="37"/>
      <x:c r="D69" s="37"/>
      <x:c r="E69" s="46"/>
      <x:c r="F69" s="43"/>
      <x:c r="G69" s="37"/>
      <x:c r="H69" s="37"/>
      <x:c r="I69" s="37"/>
      <x:c r="J69" s="37"/>
    </x:row>
    <x:row r="70">
      <x:c r="A70" s="55"/>
      <x:c r="B70" s="37"/>
      <x:c r="C70" s="37"/>
      <x:c r="D70" s="37"/>
      <x:c r="E70" s="46"/>
      <x:c r="F70" s="43"/>
      <x:c r="G70" s="37"/>
      <x:c r="H70" s="37"/>
      <x:c r="I70" s="37"/>
      <x:c r="J70" s="37"/>
    </x:row>
    <x:row r="71">
      <x:c r="A71" s="55"/>
      <x:c r="B71" s="37"/>
      <x:c r="C71" s="37"/>
      <x:c r="D71" s="37"/>
      <x:c r="E71" s="46"/>
      <x:c r="F71" s="43"/>
      <x:c r="G71" s="37"/>
      <x:c r="H71" s="37"/>
      <x:c r="I71" s="37"/>
      <x:c r="J71" s="37"/>
    </x:row>
    <x:row r="72">
      <x:c r="A72" s="55"/>
      <x:c r="B72" s="37"/>
      <x:c r="C72" s="37"/>
      <x:c r="D72" s="37"/>
      <x:c r="E72" s="46"/>
      <x:c r="F72" s="43"/>
      <x:c r="G72" s="37"/>
      <x:c r="H72" s="37"/>
      <x:c r="I72" s="37"/>
      <x:c r="J72" s="37"/>
    </x:row>
    <x:row r="73">
      <x:c r="A73" s="55"/>
      <x:c r="B73" s="37"/>
      <x:c r="C73" s="37"/>
      <x:c r="D73" s="37"/>
      <x:c r="E73" s="46"/>
      <x:c r="F73" s="43"/>
      <x:c r="G73" s="37"/>
      <x:c r="H73" s="37"/>
      <x:c r="I73" s="37"/>
      <x:c r="J73" s="37"/>
    </x:row>
    <x:row r="74">
      <x:c r="A74" s="55"/>
      <x:c r="B74" s="37"/>
      <x:c r="C74" s="37"/>
      <x:c r="D74" s="37"/>
      <x:c r="E74" s="46"/>
      <x:c r="F74" s="43"/>
      <x:c r="G74" s="37"/>
      <x:c r="H74" s="37"/>
      <x:c r="I74" s="37"/>
      <x:c r="J74" s="37"/>
    </x:row>
    <x:row r="75">
      <x:c r="A75" s="55"/>
      <x:c r="B75" s="37"/>
      <x:c r="C75" s="37"/>
      <x:c r="D75" s="37"/>
      <x:c r="E75" s="46"/>
      <x:c r="F75" s="43"/>
      <x:c r="G75" s="37"/>
      <x:c r="H75" s="37"/>
      <x:c r="I75" s="37"/>
      <x:c r="J75" s="37"/>
    </x:row>
    <x:row r="76">
      <x:c r="A76" s="55"/>
      <x:c r="B76" s="37"/>
      <x:c r="C76" s="37"/>
      <x:c r="D76" s="37"/>
      <x:c r="E76" s="46"/>
      <x:c r="F76" s="43"/>
      <x:c r="G76" s="37"/>
      <x:c r="H76" s="37"/>
      <x:c r="I76" s="37"/>
      <x:c r="J76" s="37"/>
    </x:row>
    <x:row r="77">
      <x:c r="A77" s="55"/>
      <x:c r="B77" s="37"/>
      <x:c r="C77" s="37"/>
      <x:c r="D77" s="37"/>
      <x:c r="E77" s="46"/>
      <x:c r="F77" s="43"/>
      <x:c r="G77" s="37"/>
      <x:c r="H77" s="37"/>
      <x:c r="I77" s="37"/>
      <x:c r="J77" s="37"/>
    </x:row>
    <x:row r="78">
      <x:c r="A78" s="55"/>
      <x:c r="B78" s="37"/>
      <x:c r="C78" s="37"/>
      <x:c r="D78" s="37"/>
      <x:c r="E78" s="46"/>
      <x:c r="F78" s="43"/>
      <x:c r="G78" s="37"/>
      <x:c r="H78" s="37"/>
      <x:c r="I78" s="37"/>
      <x:c r="J78" s="37"/>
    </x:row>
    <x:row r="79">
      <x:c r="A79" s="55"/>
      <x:c r="B79" s="37"/>
      <x:c r="C79" s="37"/>
      <x:c r="D79" s="37"/>
      <x:c r="E79" s="46"/>
      <x:c r="F79" s="43"/>
      <x:c r="G79" s="37"/>
      <x:c r="H79" s="37"/>
      <x:c r="I79" s="37"/>
      <x:c r="J79" s="37"/>
    </x:row>
    <x:row r="80">
      <x:c r="A80" s="55"/>
      <x:c r="B80" s="37"/>
      <x:c r="C80" s="37"/>
      <x:c r="D80" s="37"/>
      <x:c r="E80" s="46"/>
      <x:c r="F80" s="43"/>
      <x:c r="G80" s="37"/>
      <x:c r="H80" s="37"/>
      <x:c r="I80" s="37"/>
      <x:c r="J80" s="37"/>
    </x:row>
    <x:row r="81">
      <x:c r="A81" s="55"/>
      <x:c r="B81" s="37"/>
      <x:c r="C81" s="37"/>
      <x:c r="D81" s="37"/>
      <x:c r="E81" s="46"/>
      <x:c r="F81" s="43"/>
      <x:c r="G81" s="37"/>
      <x:c r="H81" s="37"/>
      <x:c r="I81" s="37"/>
      <x:c r="J81" s="37"/>
    </x:row>
    <x:row r="82">
      <x:c r="A82" s="55"/>
      <x:c r="B82" s="37"/>
      <x:c r="C82" s="37"/>
      <x:c r="D82" s="37"/>
      <x:c r="E82" s="46"/>
      <x:c r="F82" s="43"/>
      <x:c r="G82" s="37"/>
      <x:c r="H82" s="37"/>
      <x:c r="I82" s="37"/>
      <x:c r="J82" s="37"/>
    </x:row>
    <x:row r="83">
      <x:c r="A83" s="55"/>
      <x:c r="B83" s="37"/>
      <x:c r="C83" s="37"/>
      <x:c r="D83" s="37"/>
      <x:c r="E83" s="46"/>
      <x:c r="F83" s="43"/>
      <x:c r="G83" s="37"/>
      <x:c r="H83" s="37"/>
      <x:c r="I83" s="37"/>
      <x:c r="J83" s="37"/>
    </x:row>
    <x:row r="84">
      <x:c r="A84" s="55"/>
      <x:c r="B84" s="37"/>
      <x:c r="C84" s="37"/>
      <x:c r="D84" s="37"/>
      <x:c r="E84" s="46"/>
      <x:c r="F84" s="43"/>
      <x:c r="G84" s="37"/>
      <x:c r="H84" s="37"/>
      <x:c r="I84" s="37"/>
      <x:c r="J84" s="37"/>
    </x:row>
    <x:row r="85">
      <x:c r="A85" s="55"/>
      <x:c r="B85" s="37"/>
      <x:c r="C85" s="37"/>
      <x:c r="D85" s="37"/>
      <x:c r="E85" s="46"/>
      <x:c r="F85" s="43"/>
      <x:c r="G85" s="37"/>
      <x:c r="H85" s="37"/>
      <x:c r="I85" s="37"/>
      <x:c r="J85" s="37"/>
    </x:row>
    <x:row r="86">
      <x:c r="A86" s="55"/>
      <x:c r="B86" s="37"/>
      <x:c r="C86" s="37"/>
      <x:c r="D86" s="37"/>
      <x:c r="E86" s="46"/>
      <x:c r="F86" s="43"/>
      <x:c r="G86" s="37"/>
      <x:c r="H86" s="37"/>
      <x:c r="I86" s="37"/>
      <x:c r="J86" s="37"/>
    </x:row>
    <x:row r="87">
      <x:c r="A87" s="55"/>
      <x:c r="B87" s="37"/>
      <x:c r="C87" s="37"/>
      <x:c r="D87" s="37"/>
      <x:c r="E87" s="46"/>
      <x:c r="F87" s="43"/>
      <x:c r="G87" s="37"/>
      <x:c r="H87" s="37"/>
      <x:c r="I87" s="37"/>
      <x:c r="J87" s="37"/>
    </x:row>
    <x:row r="88">
      <x:c r="A88" s="55"/>
      <x:c r="B88" s="37"/>
      <x:c r="C88" s="37"/>
      <x:c r="D88" s="37"/>
      <x:c r="E88" s="46"/>
      <x:c r="F88" s="43"/>
      <x:c r="G88" s="37"/>
      <x:c r="H88" s="37"/>
      <x:c r="I88" s="37"/>
      <x:c r="J88" s="37"/>
    </x:row>
    <x:row r="89">
      <x:c r="A89" s="55"/>
      <x:c r="B89" s="37"/>
      <x:c r="C89" s="37"/>
      <x:c r="D89" s="37"/>
      <x:c r="E89" s="46"/>
      <x:c r="F89" s="43"/>
      <x:c r="G89" s="37"/>
      <x:c r="H89" s="37"/>
      <x:c r="I89" s="37"/>
      <x:c r="J89" s="37"/>
    </x:row>
    <x:row r="90">
      <x:c r="A90" s="55"/>
      <x:c r="B90" s="37"/>
      <x:c r="C90" s="37"/>
      <x:c r="D90" s="37"/>
      <x:c r="E90" s="46"/>
      <x:c r="F90" s="43"/>
      <x:c r="G90" s="37"/>
      <x:c r="H90" s="37"/>
      <x:c r="I90" s="37"/>
      <x:c r="J90" s="37"/>
    </x:row>
    <x:row r="91">
      <x:c r="A91" s="55"/>
      <x:c r="B91" s="37"/>
      <x:c r="C91" s="37"/>
      <x:c r="D91" s="37"/>
      <x:c r="E91" s="46"/>
      <x:c r="F91" s="43"/>
      <x:c r="G91" s="37"/>
      <x:c r="H91" s="37"/>
      <x:c r="I91" s="37"/>
      <x:c r="J91" s="37"/>
    </x:row>
    <x:row r="92">
      <x:c r="A92" s="55"/>
      <x:c r="B92" s="37"/>
      <x:c r="C92" s="37"/>
      <x:c r="D92" s="37"/>
      <x:c r="E92" s="46"/>
      <x:c r="F92" s="43"/>
      <x:c r="G92" s="37"/>
      <x:c r="H92" s="37"/>
      <x:c r="I92" s="37"/>
      <x:c r="J92" s="37"/>
    </x:row>
    <x:row r="93">
      <x:c r="A93" s="55"/>
      <x:c r="B93" s="37"/>
      <x:c r="C93" s="37"/>
      <x:c r="D93" s="37"/>
      <x:c r="E93" s="46"/>
      <x:c r="F93" s="43"/>
      <x:c r="G93" s="37"/>
      <x:c r="H93" s="37"/>
      <x:c r="I93" s="37"/>
      <x:c r="J93" s="37"/>
    </x:row>
    <x:row r="94">
      <x:c r="A94" s="55"/>
      <x:c r="B94" s="37"/>
      <x:c r="C94" s="37"/>
      <x:c r="D94" s="37"/>
      <x:c r="E94" s="46"/>
      <x:c r="F94" s="43"/>
      <x:c r="G94" s="37"/>
      <x:c r="H94" s="37"/>
      <x:c r="I94" s="37"/>
      <x:c r="J94" s="37"/>
    </x:row>
    <x:row r="95">
      <x:c r="A95" s="55"/>
      <x:c r="B95" s="37"/>
      <x:c r="C95" s="37"/>
      <x:c r="D95" s="37"/>
      <x:c r="E95" s="46"/>
      <x:c r="F95" s="43"/>
      <x:c r="G95" s="37"/>
      <x:c r="H95" s="37"/>
      <x:c r="I95" s="37"/>
      <x:c r="J95" s="37"/>
    </x:row>
    <x:row r="96">
      <x:c r="A96" s="55"/>
      <x:c r="B96" s="37"/>
      <x:c r="C96" s="37"/>
      <x:c r="D96" s="37"/>
      <x:c r="E96" s="46"/>
      <x:c r="F96" s="43"/>
      <x:c r="G96" s="37"/>
      <x:c r="H96" s="37"/>
      <x:c r="I96" s="37"/>
      <x:c r="J96" s="37"/>
    </x:row>
    <x:row r="97">
      <x:c r="A97" s="55"/>
      <x:c r="B97" s="37"/>
      <x:c r="C97" s="37"/>
      <x:c r="D97" s="37"/>
      <x:c r="E97" s="46"/>
      <x:c r="F97" s="43"/>
      <x:c r="G97" s="37"/>
      <x:c r="H97" s="37"/>
      <x:c r="I97" s="37"/>
      <x:c r="J97" s="37"/>
    </x:row>
    <x:row r="98">
      <x:c r="A98" s="55"/>
      <x:c r="B98" s="37"/>
      <x:c r="C98" s="37"/>
      <x:c r="D98" s="37"/>
      <x:c r="E98" s="46"/>
      <x:c r="F98" s="43"/>
      <x:c r="G98" s="37"/>
      <x:c r="H98" s="37"/>
      <x:c r="I98" s="37"/>
      <x:c r="J98" s="37"/>
    </x:row>
    <x:row r="99">
      <x:c r="A99" s="55"/>
      <x:c r="B99" s="37"/>
      <x:c r="C99" s="37"/>
      <x:c r="D99" s="37"/>
      <x:c r="E99" s="46"/>
      <x:c r="F99" s="43"/>
      <x:c r="G99" s="37"/>
      <x:c r="H99" s="37"/>
      <x:c r="I99" s="37"/>
      <x:c r="J99" s="37"/>
    </x:row>
    <x:row r="100">
      <x:c r="A100" s="55"/>
      <x:c r="B100" s="37"/>
      <x:c r="C100" s="37"/>
      <x:c r="D100" s="37"/>
      <x:c r="E100" s="46"/>
      <x:c r="F100" s="43"/>
      <x:c r="G100" s="37"/>
      <x:c r="H100" s="37"/>
      <x:c r="I100" s="37"/>
      <x:c r="J100" s="37"/>
    </x:row>
    <x:row r="101">
      <x:c r="A101" s="55"/>
      <x:c r="B101" s="37"/>
      <x:c r="C101" s="37"/>
      <x:c r="D101" s="37"/>
      <x:c r="E101" s="46"/>
      <x:c r="F101" s="43"/>
      <x:c r="G101" s="37"/>
      <x:c r="H101" s="37"/>
      <x:c r="I101" s="37"/>
      <x:c r="J101" s="37"/>
    </x:row>
    <x:row r="102">
      <x:c r="A102" s="55"/>
      <x:c r="B102" s="37"/>
      <x:c r="C102" s="37"/>
      <x:c r="D102" s="37"/>
      <x:c r="E102" s="46"/>
      <x:c r="F102" s="43"/>
      <x:c r="G102" s="37"/>
      <x:c r="H102" s="37"/>
      <x:c r="I102" s="37"/>
      <x:c r="J102" s="37"/>
    </x:row>
    <x:row r="103">
      <x:c r="A103" s="55"/>
      <x:c r="B103" s="37"/>
      <x:c r="C103" s="37"/>
      <x:c r="D103" s="37"/>
      <x:c r="E103" s="46"/>
      <x:c r="F103" s="43"/>
      <x:c r="G103" s="37"/>
      <x:c r="H103" s="37"/>
      <x:c r="I103" s="37"/>
      <x:c r="J103" s="37"/>
    </x:row>
    <x:row r="104">
      <x:c r="A104" s="55"/>
      <x:c r="B104" s="37"/>
      <x:c r="C104" s="37"/>
      <x:c r="D104" s="37"/>
      <x:c r="E104" s="46"/>
      <x:c r="F104" s="43"/>
      <x:c r="G104" s="37"/>
      <x:c r="H104" s="37"/>
      <x:c r="I104" s="37"/>
      <x:c r="J104" s="37"/>
    </x:row>
    <x:row r="105">
      <x:c r="A105" s="56"/>
      <x:c r="B105" s="38"/>
      <x:c r="C105" s="38"/>
      <x:c r="D105" s="38"/>
      <x:c r="E105" s="47"/>
      <x:c r="F105" s="44"/>
      <x:c r="G105" s="38"/>
      <x:c r="H105" s="38"/>
      <x:c r="I105" s="38"/>
      <x:c r="J105" s="38"/>
    </x:row>
  </x:sheetData>
  <x:mergeCells>
    <x:mergeCell ref="A1:J1"/>
    <x:mergeCell ref="A2:J2"/>
  </x:mergeCells>
  <x:dataValidations count="2">
    <x:dataValidation type="list" sqref="C6:C105">
      <x:formula1>"保養,巡檢,故障"</x:formula1>
    </x:dataValidation>
    <x:dataValidation type="decimal" operator="greaterThanOrEqual" sqref="E6:F10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631147e7074b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3" hidden="0" customWidth="1"/>
    <x:col min="4" max="4" width="14" hidden="0" customWidth="1"/>
    <x:col min="5" max="5" width="10" hidden="0" customWidth="1"/>
    <x:col min="6" max="6" width="25" hidden="0" customWidth="1"/>
    <x:col min="7" max="7" width="48" hidden="0" customWidth="1"/>
  </x:cols>
  <x:sheetData>
    <x:row r="1" ht="32" customHeight="1">
      <x:c r="A1" s="3" t="str">
        <x:v>資料字典與研究定義</x:v>
      </x:c>
      <x:c r="B1" s="3" t="str">
        <x:v>資料字典與研究定義</x:v>
      </x:c>
      <x:c r="C1" s="3" t="str">
        <x:v>資料字典與研究定義</x:v>
      </x:c>
      <x:c r="D1" s="3" t="str">
        <x:v>資料字典與研究定義</x:v>
      </x:c>
      <x:c r="E1" s="3" t="str">
        <x:v>資料字典與研究定義</x:v>
      </x:c>
      <x:c r="F1" s="3" t="str">
        <x:v>資料字典與研究定義</x:v>
      </x:c>
      <x:c r="G1" s="3" t="str">
        <x:v>資料字典與研究定義</x:v>
      </x:c>
    </x:row>
    <x:row r="2" ht="34" customHeight="1">
      <x:c r="A2" s="7" t="str">
        <x:v>欄位名稱必須與網站一致；單位寫在欄名或本表，不要把『人、天、度』混入數值儲存格。</x:v>
      </x:c>
      <x:c r="B2" s="7" t="str">
        <x:v>欄位名稱必須與網站一致；單位寫在欄名或本表，不要把『人、天、度』混入數值儲存格。</x:v>
      </x:c>
      <x:c r="C2" s="7" t="str">
        <x:v>欄位名稱必須與網站一致；單位寫在欄名或本表，不要把『人、天、度』混入數值儲存格。</x:v>
      </x:c>
      <x:c r="D2" s="7" t="str">
        <x:v>欄位名稱必須與網站一致；單位寫在欄名或本表，不要把『人、天、度』混入數值儲存格。</x:v>
      </x:c>
      <x:c r="E2" s="7" t="str">
        <x:v>欄位名稱必須與網站一致；單位寫在欄名或本表，不要把『人、天、度』混入數值儲存格。</x:v>
      </x:c>
      <x:c r="F2" s="7" t="str">
        <x:v>欄位名稱必須與網站一致；單位寫在欄名或本表，不要把『人、天、度』混入數值儲存格。</x:v>
      </x:c>
      <x:c r="G2" s="7" t="str">
        <x:v>欄位名稱必須與網站一致；單位寫在欄名或本表，不要把『人、天、度』混入數值儲存格。</x:v>
      </x:c>
    </x:row>
    <x:row r="3">
      <x:c r="A3" s="75"/>
      <x:c r="B3" s="75"/>
      <x:c r="C3" s="75"/>
      <x:c r="D3" s="75"/>
      <x:c r="E3" s="75"/>
      <x:c r="F3" s="75"/>
      <x:c r="G3" s="75"/>
    </x:row>
    <x:row r="4">
      <x:c r="A4" s="75"/>
      <x:c r="B4" s="75"/>
      <x:c r="C4" s="75"/>
      <x:c r="D4" s="75"/>
      <x:c r="E4" s="75"/>
      <x:c r="F4" s="75"/>
      <x:c r="G4" s="75"/>
    </x:row>
    <x:row r="5" ht="36" customHeight="1">
      <x:c r="A5" s="19" t="str">
        <x:v>工作表</x:v>
      </x:c>
      <x:c r="B5" s="20" t="str">
        <x:v>欄位</x:v>
      </x:c>
      <x:c r="C5" s="20" t="str">
        <x:v>型別</x:v>
      </x:c>
      <x:c r="D5" s="20" t="str">
        <x:v>單位</x:v>
      </x:c>
      <x:c r="E5" s="20" t="str">
        <x:v>必填</x:v>
      </x:c>
      <x:c r="F5" s="20" t="str">
        <x:v>檢核規則</x:v>
      </x:c>
      <x:c r="G5" s="21" t="str">
        <x:v>定義／資料來源</x:v>
      </x:c>
    </x:row>
    <x:row r="6">
      <x:c r="A6" s="26" t="str">
        <x:v>月用電資料</x:v>
      </x:c>
      <x:c r="B6" s="26" t="str">
        <x:v>年份</x:v>
      </x:c>
      <x:c r="C6" s="26" t="str">
        <x:v>整數</x:v>
      </x:c>
      <x:c r="D6" s="26" t="str">
        <x:v>西元年</x:v>
      </x:c>
      <x:c r="E6" s="26" t="str">
        <x:v>是</x:v>
      </x:c>
      <x:c r="F6" s="26" t="str">
        <x:v>2020–2035</x:v>
      </x:c>
      <x:c r="G6" s="57" t="str">
        <x:v>電表帳單或資料匯出所屬年度</x:v>
      </x:c>
    </x:row>
    <x:row r="7">
      <x:c r="A7" s="27" t="str">
        <x:v>月用電資料</x:v>
      </x:c>
      <x:c r="B7" s="27" t="str">
        <x:v>月份</x:v>
      </x:c>
      <x:c r="C7" s="27" t="str">
        <x:v>整數</x:v>
      </x:c>
      <x:c r="D7" s="27" t="str">
        <x:v>1–12</x:v>
      </x:c>
      <x:c r="E7" s="27" t="str">
        <x:v>是</x:v>
      </x:c>
      <x:c r="F7" s="27" t="str">
        <x:v>同年月不可重複</x:v>
      </x:c>
      <x:c r="G7" s="58" t="str">
        <x:v>電表帳單或資料匯出所屬月份</x:v>
      </x:c>
    </x:row>
    <x:row r="8">
      <x:c r="A8" s="27" t="str">
        <x:v>月用電資料</x:v>
      </x:c>
      <x:c r="B8" s="27" t="str">
        <x:v>總用電_kWh</x:v>
      </x:c>
      <x:c r="C8" s="27" t="str">
        <x:v>數值</x:v>
      </x:c>
      <x:c r="D8" s="27" t="str">
        <x:v>kWh</x:v>
      </x:c>
      <x:c r="E8" s="27" t="str">
        <x:v>是</x:v>
      </x:c>
      <x:c r="F8" s="27" t="str">
        <x:v>≥0</x:v>
      </x:c>
      <x:c r="G8" s="58" t="str">
        <x:v>該月電表總用電</x:v>
      </x:c>
    </x:row>
    <x:row r="9">
      <x:c r="A9" s="27" t="str">
        <x:v>月用電資料</x:v>
      </x:c>
      <x:c r="B9" s="27" t="str">
        <x:v>熱水用電_kWh</x:v>
      </x:c>
      <x:c r="C9" s="27" t="str">
        <x:v>數值</x:v>
      </x:c>
      <x:c r="D9" s="27" t="str">
        <x:v>kWh</x:v>
      </x:c>
      <x:c r="E9" s="27" t="str">
        <x:v>是</x:v>
      </x:c>
      <x:c r="F9" s="27" t="str">
        <x:v>0–總用電</x:v>
      </x:c>
      <x:c r="G9" s="58" t="str">
        <x:v>熱水分表；無分表需註明估算</x:v>
      </x:c>
    </x:row>
    <x:row r="10">
      <x:c r="A10" s="27" t="str">
        <x:v>月用電資料</x:v>
      </x:c>
      <x:c r="B10" s="27" t="str">
        <x:v>住宿天數</x:v>
      </x:c>
      <x:c r="C10" s="27" t="str">
        <x:v>整數</x:v>
      </x:c>
      <x:c r="D10" s="27" t="str">
        <x:v>天</x:v>
      </x:c>
      <x:c r="E10" s="27" t="str">
        <x:v>是</x:v>
      </x:c>
      <x:c r="F10" s="27" t="str">
        <x:v>0–開館天數</x:v>
      </x:c>
      <x:c r="G10" s="58" t="str">
        <x:v>該月實際提供住宿的天數</x:v>
      </x:c>
    </x:row>
    <x:row r="11">
      <x:c r="A11" s="27" t="str">
        <x:v>月用電資料</x:v>
      </x:c>
      <x:c r="B11" s="27" t="str">
        <x:v>住宿人數</x:v>
      </x:c>
      <x:c r="C11" s="27" t="str">
        <x:v>整數</x:v>
      </x:c>
      <x:c r="D11" s="27" t="str">
        <x:v>人</x:v>
      </x:c>
      <x:c r="E11" s="27" t="str">
        <x:v>是</x:v>
      </x:c>
      <x:c r="F11" s="27" t="str">
        <x:v>0–床位數</x:v>
      </x:c>
      <x:c r="G11" s="58" t="str">
        <x:v>該月平均住宿人數，不含個人識別資料</x:v>
      </x:c>
    </x:row>
    <x:row r="12">
      <x:c r="A12" s="27" t="str">
        <x:v>月用電資料</x:v>
      </x:c>
      <x:c r="B12" s="27" t="str">
        <x:v>開館天數</x:v>
      </x:c>
      <x:c r="C12" s="27" t="str">
        <x:v>整數</x:v>
      </x:c>
      <x:c r="D12" s="27" t="str">
        <x:v>天</x:v>
      </x:c>
      <x:c r="E12" s="27" t="str">
        <x:v>是</x:v>
      </x:c>
      <x:c r="F12" s="27" t="str">
        <x:v>1–31</x:v>
      </x:c>
      <x:c r="G12" s="58" t="str">
        <x:v>公共設備或管理空間運轉天數</x:v>
      </x:c>
    </x:row>
    <x:row r="13">
      <x:c r="A13" s="27" t="str">
        <x:v>月用電資料</x:v>
      </x:c>
      <x:c r="B13" s="27" t="str">
        <x:v>日平均溫度_C</x:v>
      </x:c>
      <x:c r="C13" s="27" t="str">
        <x:v>數值</x:v>
      </x:c>
      <x:c r="D13" s="27" t="str">
        <x:v>°C</x:v>
      </x:c>
      <x:c r="E13" s="27" t="str">
        <x:v>是</x:v>
      </x:c>
      <x:c r="F13" s="27" t="str">
        <x:v>-10–45</x:v>
      </x:c>
      <x:c r="G13" s="58" t="str">
        <x:v>與用電月份一致的外氣日平均溫度之平均</x:v>
      </x:c>
    </x:row>
    <x:row r="14">
      <x:c r="A14" s="27" t="str">
        <x:v>冷氣設備清冊</x:v>
      </x:c>
      <x:c r="B14" s="27" t="str">
        <x:v>設備群組_ID</x:v>
      </x:c>
      <x:c r="C14" s="27" t="str">
        <x:v>文字</x:v>
      </x:c>
      <x:c r="D14" s="27" t="str">
        <x:v>－</x:v>
      </x:c>
      <x:c r="E14" s="27" t="str">
        <x:v>是</x:v>
      </x:c>
      <x:c r="F14" s="27" t="str">
        <x:v>不可重複</x:v>
      </x:c>
      <x:c r="G14" s="58" t="str">
        <x:v>設備群組唯一識別碼</x:v>
      </x:c>
    </x:row>
    <x:row r="15">
      <x:c r="A15" s="27" t="str">
        <x:v>冷氣設備清冊</x:v>
      </x:c>
      <x:c r="B15" s="27" t="str">
        <x:v>冷氣機型</x:v>
      </x:c>
      <x:c r="C15" s="27" t="str">
        <x:v>類別</x:v>
      </x:c>
      <x:c r="D15" s="27" t="str">
        <x:v>－</x:v>
      </x:c>
      <x:c r="E15" s="27" t="str">
        <x:v>是</x:v>
      </x:c>
      <x:c r="F15" s="27" t="str">
        <x:v>限定四種選項</x:v>
      </x:c>
      <x:c r="G15" s="58" t="str">
        <x:v>效率與部分負載風險基準</x:v>
      </x:c>
    </x:row>
    <x:row r="16">
      <x:c r="A16" s="27" t="str">
        <x:v>冷氣設備清冊</x:v>
      </x:c>
      <x:c r="B16" s="27" t="str">
        <x:v>額定功率_kW</x:v>
      </x:c>
      <x:c r="C16" s="27" t="str">
        <x:v>數值</x:v>
      </x:c>
      <x:c r="D16" s="27" t="str">
        <x:v>kW</x:v>
      </x:c>
      <x:c r="E16" s="27" t="str">
        <x:v>是</x:v>
      </x:c>
      <x:c r="F16" s="27" t="str">
        <x:v>0.2–10</x:v>
      </x:c>
      <x:c r="G16" s="58" t="str">
        <x:v>設備銘牌額定消耗功率</x:v>
      </x:c>
    </x:row>
    <x:row r="17">
      <x:c r="A17" s="27" t="str">
        <x:v>冷氣設備清冊</x:v>
      </x:c>
      <x:c r="B17" s="27" t="str">
        <x:v>台數</x:v>
      </x:c>
      <x:c r="C17" s="27" t="str">
        <x:v>整數</x:v>
      </x:c>
      <x:c r="D17" s="27" t="str">
        <x:v>台</x:v>
      </x:c>
      <x:c r="E17" s="27" t="str">
        <x:v>是</x:v>
      </x:c>
      <x:c r="F17" s="27" t="str">
        <x:v>1–2000</x:v>
      </x:c>
      <x:c r="G17" s="58" t="str">
        <x:v>群組內設備數量</x:v>
      </x:c>
    </x:row>
    <x:row r="18">
      <x:c r="A18" s="27" t="str">
        <x:v>冷氣設備清冊</x:v>
      </x:c>
      <x:c r="B18" s="27" t="str">
        <x:v>平均機齡_年</x:v>
      </x:c>
      <x:c r="C18" s="27" t="str">
        <x:v>數值</x:v>
      </x:c>
      <x:c r="D18" s="27" t="str">
        <x:v>年</x:v>
      </x:c>
      <x:c r="E18" s="27" t="str">
        <x:v>是</x:v>
      </x:c>
      <x:c r="F18" s="27" t="str">
        <x:v>0–30</x:v>
      </x:c>
      <x:c r="G18" s="58" t="str">
        <x:v>分析日期減平均安裝日期</x:v>
      </x:c>
    </x:row>
    <x:row r="19">
      <x:c r="A19" s="27" t="str">
        <x:v>冷氣設備清冊</x:v>
      </x:c>
      <x:c r="B19" s="27" t="str">
        <x:v>使用率_00_06 等</x:v>
      </x:c>
      <x:c r="C19" s="27" t="str">
        <x:v>百分比</x:v>
      </x:c>
      <x:c r="D19" s="27" t="str">
        <x:v>%</x:v>
      </x:c>
      <x:c r="E19" s="27" t="str">
        <x:v>是</x:v>
      </x:c>
      <x:c r="F19" s="27" t="str">
        <x:v>0%–100%</x:v>
      </x:c>
      <x:c r="G19" s="58" t="str">
        <x:v>各時段平均運轉設備比例</x:v>
      </x:c>
    </x:row>
    <x:row r="20">
      <x:c r="A20" s="27" t="str">
        <x:v>冷氣設備清冊</x:v>
      </x:c>
      <x:c r="B20" s="27" t="str">
        <x:v>距上次保養_月</x:v>
      </x:c>
      <x:c r="C20" s="27" t="str">
        <x:v>整數</x:v>
      </x:c>
      <x:c r="D20" s="27" t="str">
        <x:v>月</x:v>
      </x:c>
      <x:c r="E20" s="27" t="str">
        <x:v>是</x:v>
      </x:c>
      <x:c r="F20" s="27" t="str">
        <x:v>0–60</x:v>
      </x:c>
      <x:c r="G20" s="58" t="str">
        <x:v>距最近一次完成保養的月份數</x:v>
      </x:c>
    </x:row>
    <x:row r="21">
      <x:c r="A21" s="27" t="str">
        <x:v>冷氣設備清冊</x:v>
      </x:c>
      <x:c r="B21" s="27" t="str">
        <x:v>近兩年故障次數</x:v>
      </x:c>
      <x:c r="C21" s="27" t="str">
        <x:v>整數</x:v>
      </x:c>
      <x:c r="D21" s="27" t="str">
        <x:v>次／台</x:v>
      </x:c>
      <x:c r="E21" s="27" t="str">
        <x:v>是</x:v>
      </x:c>
      <x:c r="F21" s="27" t="str">
        <x:v>0–10</x:v>
      </x:c>
      <x:c r="G21" s="58" t="str">
        <x:v>群組單台設備近兩年平均故障次數</x:v>
      </x:c>
    </x:row>
    <x:row r="22">
      <x:c r="A22" s="27" t="str">
        <x:v>保養故障紀錄</x:v>
      </x:c>
      <x:c r="B22" s="27" t="str">
        <x:v>事件日期</x:v>
      </x:c>
      <x:c r="C22" s="27" t="str">
        <x:v>日期</x:v>
      </x:c>
      <x:c r="D22" s="27" t="str">
        <x:v>yyyy-mm-dd</x:v>
      </x:c>
      <x:c r="E22" s="27" t="str">
        <x:v>是</x:v>
      </x:c>
      <x:c r="F22" s="27" t="str">
        <x:v>有效日期</x:v>
      </x:c>
      <x:c r="G22" s="58" t="str">
        <x:v>保養、巡檢或故障發生日期</x:v>
      </x:c>
    </x:row>
    <x:row r="23">
      <x:c r="A23" s="28" t="str">
        <x:v>保養故障紀錄</x:v>
      </x:c>
      <x:c r="B23" s="28" t="str">
        <x:v>事件類型</x:v>
      </x:c>
      <x:c r="C23" s="28" t="str">
        <x:v>類別</x:v>
      </x:c>
      <x:c r="D23" s="28" t="str">
        <x:v>－</x:v>
      </x:c>
      <x:c r="E23" s="28" t="str">
        <x:v>是</x:v>
      </x:c>
      <x:c r="F23" s="28" t="str">
        <x:v>保養／巡檢／故障</x:v>
      </x:c>
      <x:c r="G23" s="59" t="str">
        <x:v>用於建立故障標籤與保養間隔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e4ac3ba7dcd45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4" hidden="0" customWidth="1"/>
    <x:col min="4" max="4" width="60" hidden="0" customWidth="1"/>
  </x:cols>
  <x:sheetData>
    <x:row r="1" ht="32" customHeight="1">
      <x:c r="A1" s="3" t="str">
        <x:v>資料品質與完整度檢核</x:v>
      </x:c>
      <x:c r="B1" s="3" t="str">
        <x:v>資料品質與完整度檢核</x:v>
      </x:c>
      <x:c r="C1" s="3" t="str">
        <x:v>資料品質與完整度檢核</x:v>
      </x:c>
      <x:c r="D1" s="3" t="str">
        <x:v>資料品質與完整度檢核</x:v>
      </x:c>
    </x:row>
    <x:row r="2" ht="34" customHeight="1">
      <x:c r="A2" s="7" t="str">
        <x:v>先在原始資料表填寫資料，再查看本頁。紅色異常數量應為 0；示範列也會被計入，正式送出前請替換。</x:v>
      </x:c>
      <x:c r="B2" s="7" t="str">
        <x:v>先在原始資料表填寫資料，再查看本頁。紅色異常數量應為 0；示範列也會被計入，正式送出前請替換。</x:v>
      </x:c>
      <x:c r="C2" s="7" t="str">
        <x:v>先在原始資料表填寫資料，再查看本頁。紅色異常數量應為 0；示範列也會被計入，正式送出前請替換。</x:v>
      </x:c>
      <x:c r="D2" s="7" t="str">
        <x:v>先在原始資料表填寫資料，再查看本頁。紅色異常數量應為 0；示範列也會被計入，正式送出前請替換。</x:v>
      </x:c>
    </x:row>
    <x:row r="3">
      <x:c r="A3" s="75"/>
      <x:c r="B3" s="75"/>
      <x:c r="C3" s="75"/>
      <x:c r="D3" s="75"/>
    </x:row>
    <x:row r="4">
      <x:c r="A4" s="75"/>
      <x:c r="B4" s="75"/>
      <x:c r="C4" s="75"/>
      <x:c r="D4" s="75"/>
    </x:row>
    <x:row r="5" ht="36" customHeight="1">
      <x:c r="A5" s="19" t="str">
        <x:v>檢核項目</x:v>
      </x:c>
      <x:c r="B5" s="20" t="str">
        <x:v>結果</x:v>
      </x:c>
      <x:c r="C5" s="20" t="str">
        <x:v>狀態</x:v>
      </x:c>
      <x:c r="D5" s="21" t="str">
        <x:v>解讀</x:v>
      </x:c>
    </x:row>
    <x:row r="6">
      <x:c r="A6" s="63" t="str">
        <x:v>月用電資料筆數</x:v>
      </x:c>
      <x:c r="B6" s="66" t="n">
        <x:f>COUNT('月用電資料'!A6:A41)</x:f>
        <x:v>12</x:v>
      </x:c>
      <x:c r="C6" s="73" t="str">
        <x:v>資訊</x:v>
      </x:c>
      <x:c r="D6" s="26" t="str">
        <x:v>建議至少 12 筆，跨年度研究建議 24–36 筆</x:v>
      </x:c>
    </x:row>
    <x:row r="7">
      <x:c r="A7" s="64" t="str">
        <x:v>冷氣設備群組數</x:v>
      </x:c>
      <x:c r="B7" s="67" t="n">
        <x:f>COUNTA('冷氣設備清冊'!A6:A35)</x:f>
        <x:v>3</x:v>
      </x:c>
      <x:c r="C7" s="74" t="str">
        <x:v>資訊</x:v>
      </x:c>
      <x:c r="D7" s="27" t="str">
        <x:v>設備清冊每列代表一個同質群組</x:v>
      </x:c>
    </x:row>
    <x:row r="8">
      <x:c r="A8" s="64" t="str">
        <x:v>保養故障事件數</x:v>
      </x:c>
      <x:c r="B8" s="67" t="n">
        <x:f>COUNTA('保養故障紀錄'!A6:A105)</x:f>
        <x:v>3</x:v>
      </x:c>
      <x:c r="C8" s="74" t="str">
        <x:v>資訊</x:v>
      </x:c>
      <x:c r="D8" s="27" t="str">
        <x:v>事件越完整，越能重新訓練故障模型</x:v>
      </x:c>
    </x:row>
    <x:row r="9">
      <x:c r="A9" s="64" t="str">
        <x:v>總用電合計_kWh</x:v>
      </x:c>
      <x:c r="B9" s="67" t="n">
        <x:f>SUM('月用電資料'!C6:C41)</x:f>
        <x:v>415418</x:v>
      </x:c>
      <x:c r="C9" s="74" t="str">
        <x:v>資訊</x:v>
      </x:c>
      <x:c r="D9" s="27" t="str">
        <x:v>應與電表或帳單年度總量核對</x:v>
      </x:c>
    </x:row>
    <x:row r="10">
      <x:c r="A10" s="64" t="str">
        <x:v>月份範圍異常數</x:v>
      </x:c>
      <x:c r="B10" s="67" t="n">
        <x:f>COUNTIFS('月用電資料'!B6:B41,"&lt;&gt;",'月用電資料'!B6:B41,"&lt;1")+COUNTIFS('月用電資料'!B6:B41,"&lt;&gt;",'月用電資料'!B6:B41,"&gt;12")</x:f>
        <x:v>0</x:v>
      </x:c>
      <x:c r="C10" s="27" t="str">
        <x:f>IF(B10=0,"通過","異常")</x:f>
        <x:v>通過</x:v>
      </x:c>
      <x:c r="D10" s="27" t="str">
        <x:v>月份只能為 1–12</x:v>
      </x:c>
    </x:row>
    <x:row r="11">
      <x:c r="A11" s="64" t="str">
        <x:v>總用電負值數</x:v>
      </x:c>
      <x:c r="B11" s="67" t="n">
        <x:f>COUNTIF('月用電資料'!C6:C41,"&lt;0")</x:f>
        <x:v>0</x:v>
      </x:c>
      <x:c r="C11" s="27" t="str">
        <x:f>IF(B11=0,"通過","異常")</x:f>
        <x:v>通過</x:v>
      </x:c>
      <x:c r="D11" s="27" t="str">
        <x:v>總用電不可小於 0</x:v>
      </x:c>
    </x:row>
    <x:row r="12">
      <x:c r="A12" s="64" t="str">
        <x:v>熱水大於總用電數</x:v>
      </x:c>
      <x:c r="B12" s="67" t="n">
        <x:f>SUMPRODUCT(--('月用電資料'!D6:D41&gt;'月用電資料'!C6:C41))</x:f>
        <x:v>0</x:v>
      </x:c>
      <x:c r="C12" s="27" t="str">
        <x:f>IF(B12=0,"通過","異常")</x:f>
        <x:v>通過</x:v>
      </x:c>
      <x:c r="D12" s="27" t="str">
        <x:v>熱水用電不可大於同月總用電</x:v>
      </x:c>
    </x:row>
    <x:row r="13">
      <x:c r="A13" s="64" t="str">
        <x:v>住宿天數大於開館天數數</x:v>
      </x:c>
      <x:c r="B13" s="67" t="n">
        <x:f>SUMPRODUCT(--('月用電資料'!E6:E41&gt;'月用電資料'!G6:G41))</x:f>
        <x:v>0</x:v>
      </x:c>
      <x:c r="C13" s="27" t="str">
        <x:f>IF(B13=0,"通過","異常")</x:f>
        <x:v>通過</x:v>
      </x:c>
      <x:c r="D13" s="27" t="str">
        <x:v>住宿天數不可大於開館天數</x:v>
      </x:c>
    </x:row>
    <x:row r="14">
      <x:c r="A14" s="65" t="str">
        <x:v>冷氣使用率超出 0%–100% 數</x:v>
      </x:c>
      <x:c r="B14" s="68" t="n">
        <x:f>COUNTIF('冷氣設備清冊'!K6:N35,"&lt;0")+COUNTIF('冷氣設備清冊'!K6:N35,"&gt;1")</x:f>
        <x:v>0</x:v>
      </x:c>
      <x:c r="C14" s="28" t="str">
        <x:f>IF(B14=0,"通過","異常")</x:f>
        <x:v>通過</x:v>
      </x:c>
      <x:c r="D14" s="28" t="str">
        <x:v>四時段使用率必須介於 0%–100%</x:v>
      </x:c>
    </x:row>
  </x:sheetData>
  <x:mergeCells>
    <x:mergeCell ref="A1:D1"/>
    <x:mergeCell ref="A2:D2"/>
  </x:mergeCells>
  <x:conditionalFormatting sqref="C10:C14">
    <x:cfRule type="containsText" dxfId="0" priority="1" operator="containsText" text="通過"/>
    <x:cfRule type="containsText" dxfId="1" priority="2" operator="containsText" text="異常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4" hidden="0" customWidth="1"/>
    <x:col min="4" max="4" width="16" hidden="0" customWidth="1"/>
  </x:cols>
  <x:sheetData>
    <x:row r="1" ht="32" customHeight="1">
      <x:c r="A1" s="3" t="str">
        <x:v>標準選單設定</x:v>
      </x:c>
      <x:c r="B1" s="3" t="str">
        <x:v>標準選單設定</x:v>
      </x:c>
      <x:c r="C1" s="3" t="str">
        <x:v>標準選單設定</x:v>
      </x:c>
      <x:c r="D1" s="3" t="str">
        <x:v>標準選單設定</x:v>
      </x:c>
    </x:row>
    <x:row r="2" ht="34" customHeight="1">
      <x:c r="A2" s="7" t="str">
        <x:v>此表提供研究欄位的標準類別；若修改，請同步更新 Streamlit 程式、資料字典及報告。</x:v>
      </x:c>
      <x:c r="B2" s="7" t="str">
        <x:v>此表提供研究欄位的標準類別；若修改，請同步更新 Streamlit 程式、資料字典及報告。</x:v>
      </x:c>
      <x:c r="C2" s="7" t="str">
        <x:v>此表提供研究欄位的標準類別；若修改，請同步更新 Streamlit 程式、資料字典及報告。</x:v>
      </x:c>
      <x:c r="D2" s="7" t="str">
        <x:v>此表提供研究欄位的標準類別；若修改，請同步更新 Streamlit 程式、資料字典及報告。</x:v>
      </x:c>
    </x:row>
    <x:row r="3">
      <x:c r="A3" s="75"/>
      <x:c r="B3" s="75"/>
      <x:c r="C3" s="75"/>
      <x:c r="D3" s="75"/>
    </x:row>
    <x:row r="4">
      <x:c r="A4" s="75"/>
      <x:c r="B4" s="75"/>
      <x:c r="C4" s="75"/>
      <x:c r="D4" s="75"/>
    </x:row>
    <x:row r="5" ht="36" customHeight="1">
      <x:c r="A5" s="19" t="str">
        <x:v>冷氣機型</x:v>
      </x:c>
      <x:c r="B5" s="20" t="str">
        <x:v>事件類型</x:v>
      </x:c>
      <x:c r="C5" s="20" t="str">
        <x:v>常見故障類型</x:v>
      </x:c>
      <x:c r="D5" s="21" t="str">
        <x:v>風險等級</x:v>
      </x:c>
    </x:row>
    <x:row r="6">
      <x:c r="A6" s="26" t="str">
        <x:v>窗型定頻（舊式）</x:v>
      </x:c>
      <x:c r="B6" s="26" t="str">
        <x:v>保養</x:v>
      </x:c>
      <x:c r="C6" s="26" t="str">
        <x:v>無</x:v>
      </x:c>
      <x:c r="D6" s="26" t="str">
        <x:v>低</x:v>
      </x:c>
    </x:row>
    <x:row r="7">
      <x:c r="A7" s="27" t="str">
        <x:v>分離式定頻</x:v>
      </x:c>
      <x:c r="B7" s="27" t="str">
        <x:v>巡檢</x:v>
      </x:c>
      <x:c r="C7" s="27" t="str">
        <x:v>冷媒異常</x:v>
      </x:c>
      <x:c r="D7" s="27" t="str">
        <x:v>中</x:v>
      </x:c>
    </x:row>
    <x:row r="8">
      <x:c r="A8" s="27" t="str">
        <x:v>變頻一級能效</x:v>
      </x:c>
      <x:c r="B8" s="27" t="str">
        <x:v>故障</x:v>
      </x:c>
      <x:c r="C8" s="27" t="str">
        <x:v>壓縮機異常</x:v>
      </x:c>
      <x:c r="D8" s="27" t="str">
        <x:v>高</x:v>
      </x:c>
    </x:row>
    <x:row r="9">
      <x:c r="A9" s="27" t="str">
        <x:v>高效變頻機種</x:v>
      </x:c>
      <x:c r="B9" s="27"/>
      <x:c r="C9" s="27" t="str">
        <x:v>風扇異常</x:v>
      </x:c>
      <x:c r="D9" s="27" t="str">
        <x:v>極高</x:v>
      </x:c>
    </x:row>
    <x:row r="10">
      <x:c r="A10" s="27"/>
      <x:c r="B10" s="27"/>
      <x:c r="C10" s="27" t="str">
        <x:v>電路板異常</x:v>
      </x:c>
      <x:c r="D10" s="27"/>
    </x:row>
    <x:row r="11">
      <x:c r="A11" s="27"/>
      <x:c r="B11" s="27"/>
      <x:c r="C11" s="27" t="str">
        <x:v>排水異常</x:v>
      </x:c>
      <x:c r="D11" s="27"/>
    </x:row>
    <x:row r="12">
      <x:c r="A12" s="28"/>
      <x:c r="B12" s="28"/>
      <x:c r="C12" s="28" t="str">
        <x:v>其他</x:v>
      </x:c>
      <x:c r="D12" s="28"/>
    </x:row>
  </x:sheetData>
  <x:mergeCells>
    <x:mergeCell ref="A1:D1"/>
    <x:mergeCell ref="A2:D2"/>
  </x:mergeCells>
  <x:pageMargins left="0.7" right="0.7" top="0.75" bottom="0.75" header="0.3" footer="0.3"/>
</x:worksheet>
</file>